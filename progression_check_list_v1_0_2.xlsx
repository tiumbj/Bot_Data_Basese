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00_README" sheetId="1" r:id="rId1"/>
    <sheet name="01_OVERVIEW" sheetId="2" r:id="rId2"/>
    <sheet name="02_PHASE_GATES" sheetId="3" r:id="rId3"/>
    <sheet name="03_DETAILED_CHECKLIST" sheetId="4" r:id="rId4"/>
    <sheet name="04_CURRENT_PRIORITY" sheetId="5" r:id="rId5"/>
    <sheet name="05_ANTI_DEVIATION" sheetId="6" r:id="rId6"/>
    <sheet name="06_HANDOFF_TEMPLATE" sheetId="7" r:id="rId7"/>
    <sheet name="07_EVIDENCE_LOG" sheetId="8" r:id="rId8"/>
    <sheet name="08_SOURCE_REGISTE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J15" authorId="0">
      <text>
        <r>
          <rPr>
            <sz val="10"/>
            <rFont val="SimSun"/>
            <charset val="134"/>
          </rPr>
          <t>Editable status. Use only DONE, IN_PROGRESS, OPEN, BLOCKED, or NOT_STARTED.</t>
        </r>
      </text>
    </comment>
    <comment ref="O15" authorId="0">
      <text>
        <r>
          <rPr>
            <sz val="10"/>
            <rFont val="SimSun"/>
            <charset val="134"/>
          </rPr>
          <t>Use plain text source references or URLs. Keep evidence lineage explicit.</t>
        </r>
      </text>
    </comment>
  </commentList>
</comments>
</file>

<file path=xl/sharedStrings.xml><?xml version="1.0" encoding="utf-8"?>
<sst xmlns="http://schemas.openxmlformats.org/spreadsheetml/2006/main" count="1659" uniqueCount="839">
  <si>
    <t>Progression Checklist Workbook</t>
  </si>
  <si>
    <t/>
  </si>
  <si>
    <t>Version</t>
  </si>
  <si>
    <t>v1.0.2</t>
  </si>
  <si>
    <t>Purpose</t>
  </si>
  <si>
    <t>Detailed Excel checklist to drive the project from current state to production without AI deviation.</t>
  </si>
  <si>
    <t>Current Position</t>
  </si>
  <si>
    <t>Controlled Execution / Gate 4 preparation</t>
  </si>
  <si>
    <t>Current Priority</t>
  </si>
  <si>
    <t>Close Gate 4: seed-manifest-only execution, standardized result pack, explicit failure reasons, resume-safe restart with same outdir.</t>
  </si>
  <si>
    <t>Usage</t>
  </si>
  <si>
    <t>Update 03_DETAILED_CHECKLIST first. Then review 01_OVERVIEW, 04_CURRENT_PRIORITY, and 06_HANDOFF_TEMPLATE before changing chat.</t>
  </si>
  <si>
    <t>Production Rule</t>
  </si>
  <si>
    <t>Production is closed only when critical gates are closed with evidence, registry + runtime layers are operational, and Phase 9 readiness review passes.</t>
  </si>
  <si>
    <t>Primary Repo</t>
  </si>
  <si>
    <t>https://github.com/tiumbj/Bot_Data_Basese</t>
  </si>
  <si>
    <t>Uploaded Source Files</t>
  </si>
  <si>
    <t>PROJECT_PROGRESSION_CHECKLIST.txt; Master Mapping Intelligent Data Base Production_v1_2_0.txt; project conversation.txt</t>
  </si>
  <si>
    <t>Operator Rules</t>
  </si>
  <si>
    <t>[ ]</t>
  </si>
  <si>
    <t>Always identify the gate before starting work.</t>
  </si>
  <si>
    <t>If the task does not move one OPEN gate closer to CLOSED, do not start it.</t>
  </si>
  <si>
    <t>Do not confuse logs/specs/plans with runtime truth.</t>
  </si>
  <si>
    <t>Do not reduce scope or skip locked TF coverage.</t>
  </si>
  <si>
    <t>Do not rewrite the system before current gate closure requires it.</t>
  </si>
  <si>
    <t>CURRENT POSITION</t>
  </si>
  <si>
    <t>CURRENT GATE</t>
  </si>
  <si>
    <t>Gate 4 - Execution Evidence</t>
  </si>
  <si>
    <t>CURRENT LAYER</t>
  </si>
  <si>
    <t>Research Evidence / Execution Evidence</t>
  </si>
  <si>
    <t>CURRENT PRIORITY</t>
  </si>
  <si>
    <t>Resume-safe runner + standardized result pack + explicit failure reasons + same-outdir restart recovery</t>
  </si>
  <si>
    <t>LOCKED SEQUENCE</t>
  </si>
  <si>
    <t>Truth Gate -&gt; Seed Manifest -&gt; Controlled Execution -&gt; Standardized Result Pack -&gt; Candidate Registry Publish -&gt; Feature/Label Runtime -&gt; Intelligent DB -&gt; Downstream Bot / MT5</t>
  </si>
  <si>
    <t>ARCHITECTURE DIRECTION</t>
  </si>
  <si>
    <t>Parquet + Zstd, Polars Lazy scan_parquet(), Arrow/NumPy-friendly path, custom Numba kernel, separated orchestration, future Ray/Optuna later.</t>
  </si>
  <si>
    <t>NOT CURRENT NEXT ACTION</t>
  </si>
  <si>
    <t>Do not rewrite the whole system around Ray now. Do not introduce Optuna as the main task now. Do not treat architecture work as production closure.</t>
  </si>
  <si>
    <t>DECISION RULE</t>
  </si>
  <si>
    <t>If a proposed task does not move one OPEN gate closer to CLOSED, it is architecture research only, not the current production priority.</t>
  </si>
  <si>
    <t>PHASE STATUS GUIDE</t>
  </si>
  <si>
    <t>Phase 0 - Concept Lock</t>
  </si>
  <si>
    <t>Mostly closed</t>
  </si>
  <si>
    <t>Phase 1 - Canonical Data Ready</t>
  </si>
  <si>
    <t>In progress</t>
  </si>
  <si>
    <t>Phase 2 - Research Evidence Truth</t>
  </si>
  <si>
    <t>Phase 3 - Seed Manifest Gate</t>
  </si>
  <si>
    <t>Phase 4 - Execution Evidence Gate</t>
  </si>
  <si>
    <t>Current blocker / in progress</t>
  </si>
  <si>
    <t>Phase 5 - Registry Publish Gate</t>
  </si>
  <si>
    <t>Open</t>
  </si>
  <si>
    <t>Phase 6 - Feature / Label / Regime Runtime</t>
  </si>
  <si>
    <t>Phase 7 - Intelligent DB Runtime</t>
  </si>
  <si>
    <t>Phase 8 - Downstream Bot / MT5 Integration</t>
  </si>
  <si>
    <t>Phase 9 - Production Closure &amp; Weekly Loop</t>
  </si>
  <si>
    <t>Gate</t>
  </si>
  <si>
    <t>Phase</t>
  </si>
  <si>
    <t>Pass Only If</t>
  </si>
  <si>
    <t>Current State</t>
  </si>
  <si>
    <t>Why It Matters</t>
  </si>
  <si>
    <t>Evidence Required</t>
  </si>
  <si>
    <t>Immediate Next Move</t>
  </si>
  <si>
    <t>Not Allowed</t>
  </si>
  <si>
    <t>Gate 1</t>
  </si>
  <si>
    <t>Canonical Data Ready</t>
  </si>
  <si>
    <t>All locked TF datasets exist; integrity checks pass; source/version recorded</t>
  </si>
  <si>
    <t>IN_PROGRESS</t>
  </si>
  <si>
    <t>All downstream layers must read one trusted market-data spine</t>
  </si>
  <si>
    <t>Integrity report; version manifest; TF coverage inventory</t>
  </si>
  <si>
    <t>Finish integrity automation and provenance snapshots</t>
  </si>
  <si>
    <t>Do not assume data existence equals data truth</t>
  </si>
  <si>
    <t>Gate 2</t>
  </si>
  <si>
    <t>Research Evidence Truth</t>
  </si>
  <si>
    <t>Coverage matrix, micro-exit coverage, kill-stage summary, standardized metrics pack, explicit recommendation</t>
  </si>
  <si>
    <t>Transforms research quantity into machine-readable evidence truth</t>
  </si>
  <si>
    <t>Coverage artifacts; metrics pack; recommendation table</t>
  </si>
  <si>
    <t>Standardize evidence pack and recommendation contract</t>
  </si>
  <si>
    <t>Do not move to execution from ad hoc logs</t>
  </si>
  <si>
    <t>Gate 3</t>
  </si>
  <si>
    <t>Seed Manifest Gate</t>
  </si>
  <si>
    <t>CSV + JSONL manifest exist; blocked rows excluded; eligible TF explicit; recommendation allows seed full-run</t>
  </si>
  <si>
    <t>Limits execution to truth-gated candidates</t>
  </si>
  <si>
    <t>Manifest files; schema validation; exclusion log</t>
  </si>
  <si>
    <t>Finalize manifest contract and execution-only input path</t>
  </si>
  <si>
    <t>Do not run full universe directly</t>
  </si>
  <si>
    <t>Gate 4</t>
  </si>
  <si>
    <t>Execution Evidence Gate</t>
  </si>
  <si>
    <t>Seed-manifest-only execution; standardized result pack; explicit fail reasons; resume-safe restart; idempotent recovery</t>
  </si>
  <si>
    <t>Current blocker between controlled runs and production-safe execution</t>
  </si>
  <si>
    <t>Acceptance test report; recovery metrics; result pack schema</t>
  </si>
  <si>
    <t>Promote one runner and pass kill/restart test</t>
  </si>
  <si>
    <t>Do not use new outdir-per-retry as promoted recovery model</t>
  </si>
  <si>
    <t>Gate 5</t>
  </si>
  <si>
    <t>Registry Publish Gate</t>
  </si>
  <si>
    <t>Auto-publish candidate registry; central approval rules; approved-only package build</t>
  </si>
  <si>
    <t>OPEN</t>
  </si>
  <si>
    <t>Separates raw execution results from approved truth</t>
  </si>
  <si>
    <t>Registry publish log; approval policy; package manifest</t>
  </si>
  <si>
    <t>Build candidate registry promotion flow</t>
  </si>
  <si>
    <t>Do not let downstream read raw candidates</t>
  </si>
  <si>
    <t>Gate 6</t>
  </si>
  <si>
    <t>Feature/Label/Regime Runtime</t>
  </si>
  <si>
    <t>Shared features/labels/regimes are reproducible, queryable, and versioned</t>
  </si>
  <si>
    <t>Required for intelligent database runtime and traceable analytics</t>
  </si>
  <si>
    <t>Feature cache build; schema lock; label/regime runtime reports</t>
  </si>
  <si>
    <t>Implement build_base_feature_cache and schema lock</t>
  </si>
  <si>
    <t>Do not substitute backtest outputs for feature runtime</t>
  </si>
  <si>
    <t>Gate 7</t>
  </si>
  <si>
    <t>Intelligent DB Runtime</t>
  </si>
  <si>
    <t>Unified ingestion; same retrieval truth for human and bot; feedback linkage</t>
  </si>
  <si>
    <t>Centralizes intelligence retrieval and closes source-to-outcome loop</t>
  </si>
  <si>
    <t>Ingestion report; retrieval contract; feedback linkage test</t>
  </si>
  <si>
    <t>Build ingestion and retrieval contract</t>
  </si>
  <si>
    <t>Do not split truth across client-specific stores</t>
  </si>
  <si>
    <t>Workbook Metrics</t>
  </si>
  <si>
    <t>Phase Summary</t>
  </si>
  <si>
    <t>Editing Instructions</t>
  </si>
  <si>
    <t>Task table starts at row</t>
  </si>
  <si>
    <t>Tasks</t>
  </si>
  <si>
    <t>Done</t>
  </si>
  <si>
    <t>In Progress</t>
  </si>
  <si>
    <t>Blocked</t>
  </si>
  <si>
    <t>Progress %</t>
  </si>
  <si>
    <t>Edit only blue cells: Status, Owner, Target Date, Notes.</t>
  </si>
  <si>
    <t>Total Tasks</t>
  </si>
  <si>
    <t>Phase 0</t>
  </si>
  <si>
    <t>Use statuses: DONE, IN_PROGRESS, OPEN, BLOCKED, NOT_STARTED.</t>
  </si>
  <si>
    <t>Phase 1</t>
  </si>
  <si>
    <t>Keep Source explicit with file names and URLs.</t>
  </si>
  <si>
    <t>Phase 2</t>
  </si>
  <si>
    <t>Add evidence rows in 07_EVIDENCE_LOG whenever a gate moves.</t>
  </si>
  <si>
    <t>Open / Not Started</t>
  </si>
  <si>
    <t>Phase 3</t>
  </si>
  <si>
    <t>Phase 4</t>
  </si>
  <si>
    <t>Overall Progress %</t>
  </si>
  <si>
    <t>Phase 5</t>
  </si>
  <si>
    <t>Phase 6</t>
  </si>
  <si>
    <t>Phase 7</t>
  </si>
  <si>
    <t>Phase 8</t>
  </si>
  <si>
    <t>Phase 9</t>
  </si>
  <si>
    <t>ID</t>
  </si>
  <si>
    <t>Layer</t>
  </si>
  <si>
    <t>Workstream</t>
  </si>
  <si>
    <t>Task</t>
  </si>
  <si>
    <t>Why</t>
  </si>
  <si>
    <t>Exit Criteria</t>
  </si>
  <si>
    <t>Evidence Artifact</t>
  </si>
  <si>
    <t>Status</t>
  </si>
  <si>
    <t>Priority</t>
  </si>
  <si>
    <t>Current Blocker</t>
  </si>
  <si>
    <t>Allowed Next Step</t>
  </si>
  <si>
    <t>Source</t>
  </si>
  <si>
    <t>Owner</t>
  </si>
  <si>
    <t>Target Date</t>
  </si>
  <si>
    <t>Notes</t>
  </si>
  <si>
    <t>DoneFlag</t>
  </si>
  <si>
    <t>InProgFlag</t>
  </si>
  <si>
    <t>OpenFlag</t>
  </si>
  <si>
    <t>BlockedFlag</t>
  </si>
  <si>
    <t>Foundation</t>
  </si>
  <si>
    <t>Governance</t>
  </si>
  <si>
    <t>Project Truth</t>
  </si>
  <si>
    <t>Lock research timeframe universe (M1,M2,M3,M4,M5,M6,M10,M15,M30,H1,H4,D1)</t>
  </si>
  <si>
    <t>Prevent selective TF drift and incomplete coverage</t>
  </si>
  <si>
    <t>Locked TF list referenced in all planning and runners</t>
  </si>
  <si>
    <t>Mapping files + checklist</t>
  </si>
  <si>
    <t>DONE</t>
  </si>
  <si>
    <t>High</t>
  </si>
  <si>
    <t>None</t>
  </si>
  <si>
    <t>Use locked TF list in research/evidence gates</t>
  </si>
  <si>
    <t>Do not narrow TF scope for convenience</t>
  </si>
  <si>
    <t>uploaded: PROJECT_PROGRESSION_CHECKLIST.txt; repo: https://github.com/tiumbj/Bot_Data_Basese</t>
  </si>
  <si>
    <t>Separate research timeframe scope from execution timeframe scope</t>
  </si>
  <si>
    <t>Avoid conflating research coverage with live execution cadence</t>
  </si>
  <si>
    <t>Both scopes documented and referenced independently</t>
  </si>
  <si>
    <t>Checklist + architecture notes</t>
  </si>
  <si>
    <t>Keep research coverage broad while live execution remains selective</t>
  </si>
  <si>
    <t>Do not claim production readiness from research TF only</t>
  </si>
  <si>
    <t>Lock micro exit as mandatory base layer</t>
  </si>
  <si>
    <t>Ensure exit logic is part of truth, not optional add-on</t>
  </si>
  <si>
    <t>Every research/evidence phase references micro exit requirement</t>
  </si>
  <si>
    <t>Mapping + checklist</t>
  </si>
  <si>
    <t>Retain micro exit in all future candidate evaluation</t>
  </si>
  <si>
    <t>Do not bypass micro exit to speed exploration</t>
  </si>
  <si>
    <t>Lock custom controllable backtest core as target direction</t>
  </si>
  <si>
    <t>Preserve path-dependent execution control</t>
  </si>
  <si>
    <t>Architecture direction and checklist both reference custom core</t>
  </si>
  <si>
    <t>Checklist + source register</t>
  </si>
  <si>
    <t>Use custom controllable engine direction</t>
  </si>
  <si>
    <t>Do not treat VectorBT as production core</t>
  </si>
  <si>
    <t>Lock intelligent database as central system of truth</t>
  </si>
  <si>
    <t>Ensure bot runtime is a client of central truth, not standalone truth generator</t>
  </si>
  <si>
    <t>Central truth model repeated in planning artifacts</t>
  </si>
  <si>
    <t>Design downstream layers as clients of central truth</t>
  </si>
  <si>
    <t>Do not let bot create truth outside central DB</t>
  </si>
  <si>
    <t>Define runner classes: preflight / execution / legacy</t>
  </si>
  <si>
    <t>Reduce ambiguity between orchestration and production evidence</t>
  </si>
  <si>
    <t>Runner class rubric documented and used in planning</t>
  </si>
  <si>
    <t>Checklist</t>
  </si>
  <si>
    <t>Tag runners before use</t>
  </si>
  <si>
    <t>Do not run untagged runners</t>
  </si>
  <si>
    <t>Data Foundation</t>
  </si>
  <si>
    <t>Canonical Data</t>
  </si>
  <si>
    <t>Create single canonical source path for all consumers</t>
  </si>
  <si>
    <t>Prevent divergent datasets across research/labels/bot</t>
  </si>
  <si>
    <t>One canonical path documented and used</t>
  </si>
  <si>
    <t>Bootstrap config + source register</t>
  </si>
  <si>
    <t>Use canonical path in all downstream tools</t>
  </si>
  <si>
    <t>Do not fork dataset roots ad hoc</t>
  </si>
  <si>
    <t>uploaded: Master Mapping Intelligent Data Base Production_v1_2_0.txt; repo: https://github.com/tiumbj/Bot_Data_Basese</t>
  </si>
  <si>
    <t>Build multitimeframe dataset for all locked TF</t>
  </si>
  <si>
    <t>Research truth requires complete TF universe</t>
  </si>
  <si>
    <t>All locked TF datasets exist</t>
  </si>
  <si>
    <t>Dataset build report</t>
  </si>
  <si>
    <t>Coverage incomplete / not fully evidenced</t>
  </si>
  <si>
    <t>Complete missing TF builds and verify outputs</t>
  </si>
  <si>
    <t>Do not skip inconvenient TF</t>
  </si>
  <si>
    <t>Build parquet cache for all TF</t>
  </si>
  <si>
    <t>Enable scalable repeated access</t>
  </si>
  <si>
    <t>Parquet cache exists for all locked TF</t>
  </si>
  <si>
    <t>Parquet cache inventory</t>
  </si>
  <si>
    <t>Operational evidence incomplete</t>
  </si>
  <si>
    <t>Finish cache coverage and inventory</t>
  </si>
  <si>
    <t>Do not rely on scattered raw files only</t>
  </si>
  <si>
    <t>Record dataset version/provenance per build</t>
  </si>
  <si>
    <t>Make outputs reproducible</t>
  </si>
  <si>
    <t>Each dataset build has timestamp/version/source metadata</t>
  </si>
  <si>
    <t>Version manifest</t>
  </si>
  <si>
    <t>Provenance flow not fully operational</t>
  </si>
  <si>
    <t>Add version snapshot manifest</t>
  </si>
  <si>
    <t>Do not overwrite data without provenance</t>
  </si>
  <si>
    <t>Automate integrity checks (row counts, schema, gaps, duplicates)</t>
  </si>
  <si>
    <t>Turn data availability into data truth</t>
  </si>
  <si>
    <t>Integrity suite runs and passes across all locked TF</t>
  </si>
  <si>
    <t>Integrity report</t>
  </si>
  <si>
    <t>Automation gap</t>
  </si>
  <si>
    <t>Implement and store integrity report</t>
  </si>
  <si>
    <t>Do not assume existence = integrity</t>
  </si>
  <si>
    <t>Validate timezone/session normalization</t>
  </si>
  <si>
    <t>Avoid hidden inconsistencies in intraday logic</t>
  </si>
  <si>
    <t>Timezone/session rules documented and tested</t>
  </si>
  <si>
    <t>Normalization test report</t>
  </si>
  <si>
    <t>Medium</t>
  </si>
  <si>
    <t>Need explicit tests</t>
  </si>
  <si>
    <t>Create session normalization tests</t>
  </si>
  <si>
    <t>Do not mix sessions silently</t>
  </si>
  <si>
    <t>Create reproducible research snapshots</t>
  </si>
  <si>
    <t>Allow any research run to be reproduced later</t>
  </si>
  <si>
    <t>Snapshot manifest can recreate dataset state used by a run</t>
  </si>
  <si>
    <t>Snapshot manifest</t>
  </si>
  <si>
    <t>Snapshot process missing</t>
  </si>
  <si>
    <t>Add snapshot write/read workflow</t>
  </si>
  <si>
    <t>Do not claim reproducibility without snapshot</t>
  </si>
  <si>
    <t>Define cleanup/retention rules for storage-heavy runs</t>
  </si>
  <si>
    <t>Keep HPC experimentation from exhausting storage</t>
  </si>
  <si>
    <t>Retention policy documented and applied</t>
  </si>
  <si>
    <t>Ops retention note</t>
  </si>
  <si>
    <t>No cleanup policy</t>
  </si>
  <si>
    <t>Add retention schedule and archive rules</t>
  </si>
  <si>
    <t>Do not scale heavy runs without cleanup plan</t>
  </si>
  <si>
    <t>Research Evidence</t>
  </si>
  <si>
    <t>Evidence Truth</t>
  </si>
  <si>
    <t>Generate coverage_by_timeframe across locked TF</t>
  </si>
  <si>
    <t>Need explicit coverage truth by TF</t>
  </si>
  <si>
    <t>Coverage matrix exists and is current</t>
  </si>
  <si>
    <t>coverage_by_timeframe artifact</t>
  </si>
  <si>
    <t>Standardization incomplete</t>
  </si>
  <si>
    <t>Regenerate and freeze coverage matrix</t>
  </si>
  <si>
    <t>Do not infer coverage from ad hoc logs</t>
  </si>
  <si>
    <t>uploaded: project conversation.txt; uploaded: Master Mapping Intelligent Data Base Production_v1_2_0.txt; repo: https://github.com/tiumbj/Bot_Data_Basese</t>
  </si>
  <si>
    <t>Generate micro_exit_coverage_matrix</t>
  </si>
  <si>
    <t>Need evidence that mandatory micro exit was tested</t>
  </si>
  <si>
    <t>Matrix exists for every locked TF</t>
  </si>
  <si>
    <t>micro_exit_coverage_matrix artifact</t>
  </si>
  <si>
    <t>Generate matrix with locked TF coverage</t>
  </si>
  <si>
    <t>Do not mark micro exit as covered without artifact</t>
  </si>
  <si>
    <t>Generate kill_stage_summary</t>
  </si>
  <si>
    <t>Need to know where candidates fail</t>
  </si>
  <si>
    <t>Kill stage summary stored and readable</t>
  </si>
  <si>
    <t>kill_stage_summary artifact</t>
  </si>
  <si>
    <t>Pipeline not fully standardized</t>
  </si>
  <si>
    <t>Add standardized kill-stage output</t>
  </si>
  <si>
    <t>Do not rely on memory or chat summary</t>
  </si>
  <si>
    <t>Generate standardized_metrics_pack</t>
  </si>
  <si>
    <t>Convert runs into comparable evidence</t>
  </si>
  <si>
    <t>Metrics pack contains required KPIs and consistent schema</t>
  </si>
  <si>
    <t>standardized_metrics_pack</t>
  </si>
  <si>
    <t>Output standard not fully locked</t>
  </si>
  <si>
    <t>Finalize schema and export pipeline</t>
  </si>
  <si>
    <t>Do not compare candidates with incompatible metric shapes</t>
  </si>
  <si>
    <t>Write explicit recommendation per candidate / TF</t>
  </si>
  <si>
    <t>Need machine-readable next-step truth</t>
  </si>
  <si>
    <t>Recommendation field exists and is explicit</t>
  </si>
  <si>
    <t>Recommendation table</t>
  </si>
  <si>
    <t>Recommendation logic incomplete</t>
  </si>
  <si>
    <t>Create explicit recommendation column</t>
  </si>
  <si>
    <t>Do not promote ambiguous candidates</t>
  </si>
  <si>
    <t>Integrate OOS / walk-forward evidence into same truth pack</t>
  </si>
  <si>
    <t>Production candidates need more than in-sample wins</t>
  </si>
  <si>
    <t>OOS/WF metrics included in standardized pack</t>
  </si>
  <si>
    <t>Extended metrics pack</t>
  </si>
  <si>
    <t>Integration gap</t>
  </si>
  <si>
    <t>Add OOS/WF fields to evidence pack</t>
  </si>
  <si>
    <t>Do not call a candidate robust from IS only</t>
  </si>
  <si>
    <t>Track reject reasons with normalized codes</t>
  </si>
  <si>
    <t>Reduce ambiguity in failure analysis</t>
  </si>
  <si>
    <t>Reject reason taxonomy is stored consistently</t>
  </si>
  <si>
    <t>Reject reason dictionary</t>
  </si>
  <si>
    <t>Taxonomy incomplete</t>
  </si>
  <si>
    <t>Normalize reject codes</t>
  </si>
  <si>
    <t>Do not bury reject logic in free text only</t>
  </si>
  <si>
    <t>Freeze truth gate decision contract</t>
  </si>
  <si>
    <t>Need stable handoff to seed manifest</t>
  </si>
  <si>
    <t>Truth gate emits deterministic decisions</t>
  </si>
  <si>
    <t>Truth gate contract doc + artifact</t>
  </si>
  <si>
    <t>Some fields still evolving</t>
  </si>
  <si>
    <t>Freeze contract and validate sample outputs</t>
  </si>
  <si>
    <t>Do not move to execution without stable gate fields</t>
  </si>
  <si>
    <t>Execution Handoff</t>
  </si>
  <si>
    <t>Seed Manifest</t>
  </si>
  <si>
    <t>Create truth_gate_seed_manifest.csv</t>
  </si>
  <si>
    <t>Execution must use gated seed set</t>
  </si>
  <si>
    <t>CSV manifest exists and is current</t>
  </si>
  <si>
    <t>truth_gate_seed_manifest.csv</t>
  </si>
  <si>
    <t>Need final promoted artifact</t>
  </si>
  <si>
    <t>Generate latest CSV from truth gate</t>
  </si>
  <si>
    <t>Do not launch blind full-universe execution</t>
  </si>
  <si>
    <t>uploaded: project conversation.txt; repo: https://github.com/tiumbj/Bot_Data_Basese</t>
  </si>
  <si>
    <t>Create truth_gate_seed_manifest.jsonl</t>
  </si>
  <si>
    <t>Need execution-friendly row-level input</t>
  </si>
  <si>
    <t>JSONL manifest exists and matches CSV</t>
  </si>
  <si>
    <t>truth_gate_seed_manifest.jsonl</t>
  </si>
  <si>
    <t>Generate JSONL alongside CSV</t>
  </si>
  <si>
    <t>Do not maintain only manual lists</t>
  </si>
  <si>
    <t>Exclude blocked killer-layer rows</t>
  </si>
  <si>
    <t>Prevent known-bad candidates from wasting compute</t>
  </si>
  <si>
    <t>Blocked rows absent from seed manifest</t>
  </si>
  <si>
    <t>Manifest validation log</t>
  </si>
  <si>
    <t>Validation not formalized</t>
  </si>
  <si>
    <t>Add block/exclusion validation</t>
  </si>
  <si>
    <t>Do not send blocked rows into execution</t>
  </si>
  <si>
    <t>Record eligible TF explicitly in manifest</t>
  </si>
  <si>
    <t>Ensure TF handoff is deterministic</t>
  </si>
  <si>
    <t>Eligible TF field populated for each row</t>
  </si>
  <si>
    <t>Manifest schema check</t>
  </si>
  <si>
    <t>Field enforcement incomplete</t>
  </si>
  <si>
    <t>Add explicit eligible_TF field</t>
  </si>
  <si>
    <t>Do not infer TF eligibility externally</t>
  </si>
  <si>
    <t>Attach recommendation = ALLOW_VT_FULL_RUN_ON_SEED_SET</t>
  </si>
  <si>
    <t>Need machine-readable handoff decision</t>
  </si>
  <si>
    <t>Recommendation string present and validated</t>
  </si>
  <si>
    <t>Manifest validation output</t>
  </si>
  <si>
    <t>Recommendation lock incomplete</t>
  </si>
  <si>
    <t>Finalize recommendation emission</t>
  </si>
  <si>
    <t>Do not use manifest rows without recommendation</t>
  </si>
  <si>
    <t>Validate execution reads seed manifest only</t>
  </si>
  <si>
    <t>Close the gate between research truth and execution truth</t>
  </si>
  <si>
    <t>Execution runner input contract points only to seed manifest</t>
  </si>
  <si>
    <t>Execution preflight log</t>
  </si>
  <si>
    <t>Runner input contract incomplete</t>
  </si>
  <si>
    <t>Wire runner to manifest-only mode</t>
  </si>
  <si>
    <t>Execution Evidence</t>
  </si>
  <si>
    <t>Execution Runner</t>
  </si>
  <si>
    <t>Promote one execution runner as the controlled path</t>
  </si>
  <si>
    <t>Need one operational spine for Gate 4</t>
  </si>
  <si>
    <t>Runner selected, tagged, and documented</t>
  </si>
  <si>
    <t>Promoted runner note</t>
  </si>
  <si>
    <t>Historical runner drift</t>
  </si>
  <si>
    <t>Freeze one promoted runner path</t>
  </si>
  <si>
    <t>Do not juggle multiple equal 'production' runners</t>
  </si>
  <si>
    <t>uploaded: project conversation.txt; uploaded: PROJECT_PROGRESSION_CHECKLIST.txt; repo: https://github.com/tiumbj/Bot_Data_Basese</t>
  </si>
  <si>
    <t>Run controlled seed execution only</t>
  </si>
  <si>
    <t>Ensure compute is spent on truth-approved rows</t>
  </si>
  <si>
    <t>Execution logs show seed-manifest-only input</t>
  </si>
  <si>
    <t>Run logs + manifest reference</t>
  </si>
  <si>
    <t>Need final enforcement</t>
  </si>
  <si>
    <t>Keep execution scoped to seed set</t>
  </si>
  <si>
    <t>Do not revert to full-universe run</t>
  </si>
  <si>
    <t>Create standardized result pack per run</t>
  </si>
  <si>
    <t>Need deterministic downstream consumption</t>
  </si>
  <si>
    <t>Result pack schema exists and is emitted every run</t>
  </si>
  <si>
    <t>standardized_result_pack</t>
  </si>
  <si>
    <t>Schema/output gap</t>
  </si>
  <si>
    <t>Finalize pack schema and generation</t>
  </si>
  <si>
    <t>Do not treat raw mixed files as final outputs</t>
  </si>
  <si>
    <t>Emit explicit reject/error/missing-feature reasons</t>
  </si>
  <si>
    <t>Need debuggable truth, not silent fail</t>
  </si>
  <si>
    <t>Each failed/blocked row has reason code and message</t>
  </si>
  <si>
    <t>Failure reason log</t>
  </si>
  <si>
    <t>Reason emission incomplete</t>
  </si>
  <si>
    <t>Add explicit failure taxonomy to outputs</t>
  </si>
  <si>
    <t>Do not leave blank error contexts</t>
  </si>
  <si>
    <t>Support same-outdir restart after kill/shutdown</t>
  </si>
  <si>
    <t>Core production execution requirement</t>
  </si>
  <si>
    <t>Restart with same outdir resumes instead of resetting</t>
  </si>
  <si>
    <t>Acceptance test evidence</t>
  </si>
  <si>
    <t>Critical</t>
  </si>
  <si>
    <t>Resume-safe gap</t>
  </si>
  <si>
    <t>Implement stateful resume path</t>
  </si>
  <si>
    <t>Do not use new outdir per retry as promoted model</t>
  </si>
  <si>
    <t>Skip completed jobs/groups on restart</t>
  </si>
  <si>
    <t>Prevent duplicate compute and duplicate outputs</t>
  </si>
  <si>
    <t>Completed rows are skipped automatically</t>
  </si>
  <si>
    <t>Recovery metrics + logs</t>
  </si>
  <si>
    <t>Persist completion state and skip logic</t>
  </si>
  <si>
    <t>Do not recompute completed work</t>
  </si>
  <si>
    <t>Prevent duplicate result rows on recovery</t>
  </si>
  <si>
    <t>Need deterministic downstream packs</t>
  </si>
  <si>
    <t>No duplicate rows after kill/restart test</t>
  </si>
  <si>
    <t>Duplicate-check report</t>
  </si>
  <si>
    <t>Enforce idempotent write model</t>
  </si>
  <si>
    <t>Do not merge duplicate attempts manually</t>
  </si>
  <si>
    <t>Reconstruct progress after restart</t>
  </si>
  <si>
    <t>Need observability and operator trust</t>
  </si>
  <si>
    <t>Progress metrics remain accurate after restart</t>
  </si>
  <si>
    <t>Recovery progress report</t>
  </si>
  <si>
    <t>Recovery observability missing</t>
  </si>
  <si>
    <t>Add restart-aware progress reconstruction</t>
  </si>
  <si>
    <t>Do not reset counters silently</t>
  </si>
  <si>
    <t>Expose recovery metrics (resumed, skipped, status)</t>
  </si>
  <si>
    <t>Need visible recovery truth</t>
  </si>
  <si>
    <t>Recovery metrics written per run</t>
  </si>
  <si>
    <t>Recovery metrics artifact</t>
  </si>
  <si>
    <t>Metrics missing</t>
  </si>
  <si>
    <t>Emit resumed/skipped/recovery status fields</t>
  </si>
  <si>
    <t>Do not hide recovery behavior</t>
  </si>
  <si>
    <t>Pass 5-step acceptance test (run, partial progress, kill, restart, verify)</t>
  </si>
  <si>
    <t>Prove resume-safe behavior empirically</t>
  </si>
  <si>
    <t>Acceptance test passes end-to-end</t>
  </si>
  <si>
    <t>Acceptance test report</t>
  </si>
  <si>
    <t>Acceptance test open</t>
  </si>
  <si>
    <t>Run formal test and store evidence</t>
  </si>
  <si>
    <t>Do not claim production-safe before test passes</t>
  </si>
  <si>
    <t>Separate orchestration logs from execution truth outputs</t>
  </si>
  <si>
    <t>Avoid mixing monitoring with production claims</t>
  </si>
  <si>
    <t>Logs and result packs have distinct paths/contracts</t>
  </si>
  <si>
    <t>Path contract note</t>
  </si>
  <si>
    <t>Path hygiene issue</t>
  </si>
  <si>
    <t>Define separate paths/contracts</t>
  </si>
  <si>
    <t>Do not equate logs with result packs</t>
  </si>
  <si>
    <t>Document runner class, input truth, output truth, allowed next step</t>
  </si>
  <si>
    <t>Reduce AI/operator deviation</t>
  </si>
  <si>
    <t>Runner metadata available before each run</t>
  </si>
  <si>
    <t>Runner card</t>
  </si>
  <si>
    <t>Governance gap</t>
  </si>
  <si>
    <t>Create runner metadata template</t>
  </si>
  <si>
    <t>Do not start runs without runner card</t>
  </si>
  <si>
    <t>Registry</t>
  </si>
  <si>
    <t>Create candidate registry auto-publish path from result pack</t>
  </si>
  <si>
    <t>Need formal promotion from execution evidence</t>
  </si>
  <si>
    <t>Candidates auto-written to registry staging</t>
  </si>
  <si>
    <t>Registry publish log</t>
  </si>
  <si>
    <t>Publish automation missing</t>
  </si>
  <si>
    <t>Map standardized pack to candidate registry</t>
  </si>
  <si>
    <t>Do not hand-copy winners into registry</t>
  </si>
  <si>
    <t>Define approval rules centrally</t>
  </si>
  <si>
    <t>Need one policy for promotion/demotion</t>
  </si>
  <si>
    <t>Approval rules encoded and versioned</t>
  </si>
  <si>
    <t>Approval policy artifact</t>
  </si>
  <si>
    <t>Central policy gap</t>
  </si>
  <si>
    <t>Write centralized approval logic</t>
  </si>
  <si>
    <t>Do not approve manually in scattered scripts</t>
  </si>
  <si>
    <t>Define deprecated path for invalid/outdated candidates</t>
  </si>
  <si>
    <t>Need lifecycle completeness</t>
  </si>
  <si>
    <t>Deprecated registry path exists</t>
  </si>
  <si>
    <t>Registry lifecycle note</t>
  </si>
  <si>
    <t>Lifecycle incomplete</t>
  </si>
  <si>
    <t>Add deprecation flow</t>
  </si>
  <si>
    <t>Do not leave dead candidates active indefinitely</t>
  </si>
  <si>
    <t>Build approved package manifest from registry</t>
  </si>
  <si>
    <t>Downstream must consume approved truth only</t>
  </si>
  <si>
    <t>Approved package manifest builds successfully</t>
  </si>
  <si>
    <t>approved_package_manifest</t>
  </si>
  <si>
    <t>Publish flow missing</t>
  </si>
  <si>
    <t>Build manifest generator</t>
  </si>
  <si>
    <t>Do not let downstream read raw candidate pool</t>
  </si>
  <si>
    <t>Version candidate and approved packages</t>
  </si>
  <si>
    <t>Need reproducibility and rollback</t>
  </si>
  <si>
    <t>Package version fields populated</t>
  </si>
  <si>
    <t>Package version inventory</t>
  </si>
  <si>
    <t>Versioning missing</t>
  </si>
  <si>
    <t>Add version metadata</t>
  </si>
  <si>
    <t>Do not overwrite registry packages silently</t>
  </si>
  <si>
    <t>Attach evidence lineage back to result pack and dataset snapshot</t>
  </si>
  <si>
    <t>Need traceability from approved truth to source truth</t>
  </si>
  <si>
    <t>Lineage fields populated in registry</t>
  </si>
  <si>
    <t>Registry lineage check</t>
  </si>
  <si>
    <t>Lineage incomplete</t>
  </si>
  <si>
    <t>Store source run + dataset snapshot IDs</t>
  </si>
  <si>
    <t>Do not break traceability</t>
  </si>
  <si>
    <t>Validate downstream consumes approved-only packages</t>
  </si>
  <si>
    <t>Enforce central truth contract</t>
  </si>
  <si>
    <t>Consumer integration test passes</t>
  </si>
  <si>
    <t>Consumer test report</t>
  </si>
  <si>
    <t>Consumer gate open</t>
  </si>
  <si>
    <t>Switch downstream readers to approved package only</t>
  </si>
  <si>
    <t>Do not read raw exploratory results</t>
  </si>
  <si>
    <t>Feature/Label Runtime</t>
  </si>
  <si>
    <t>Feature Runtime</t>
  </si>
  <si>
    <t>Implement build_base_feature_cache end-to-end</t>
  </si>
  <si>
    <t>Shared features are a known major gap</t>
  </si>
  <si>
    <t>Base feature cache builds from canonical data</t>
  </si>
  <si>
    <t>Feature cache build report</t>
  </si>
  <si>
    <t>Known feature-layer gap</t>
  </si>
  <si>
    <t>Implement and validate feature cache</t>
  </si>
  <si>
    <t>Do not assume backtest outputs replace features</t>
  </si>
  <si>
    <t>Lock operational feature schema</t>
  </si>
  <si>
    <t>Need stable contract for DB/runtime consumers</t>
  </si>
  <si>
    <t>Feature schema versioned and enforced</t>
  </si>
  <si>
    <t>Feature schema file</t>
  </si>
  <si>
    <t>Schema lock missing</t>
  </si>
  <si>
    <t>Freeze schema and validation</t>
  </si>
  <si>
    <t>Do not let feature columns drift silently</t>
  </si>
  <si>
    <t>Generate reproducible trade outcome labels</t>
  </si>
  <si>
    <t>Need supervised/runtime truth tied to trades</t>
  </si>
  <si>
    <t>Outcome labels can be rebuilt deterministically</t>
  </si>
  <si>
    <t>Label build report</t>
  </si>
  <si>
    <t>Label runtime missing</t>
  </si>
  <si>
    <t>Implement label generation pipeline</t>
  </si>
  <si>
    <t>Do not derive labels ad hoc</t>
  </si>
  <si>
    <t>Generate reproducible regime labels</t>
  </si>
  <si>
    <t>Need market context for retrieval and ranking</t>
  </si>
  <si>
    <t>Regime labels can be rebuilt deterministically</t>
  </si>
  <si>
    <t>Regime build report</t>
  </si>
  <si>
    <t>Regime runtime missing</t>
  </si>
  <si>
    <t>Implement regime labeling pipeline</t>
  </si>
  <si>
    <t>Do not assign regimes manually only</t>
  </si>
  <si>
    <t>Store feature/label lineage to canonical snapshot</t>
  </si>
  <si>
    <t>Need reproducibility and debugging</t>
  </si>
  <si>
    <t>Lineage fields include source snapshot/version</t>
  </si>
  <si>
    <t>Lineage validation report</t>
  </si>
  <si>
    <t>Lineage gap</t>
  </si>
  <si>
    <t>Attach snapshot metadata</t>
  </si>
  <si>
    <t>Do not orphan features from source data</t>
  </si>
  <si>
    <t>Create query contract for feature store</t>
  </si>
  <si>
    <t>Prepare intelligent DB runtime</t>
  </si>
  <si>
    <t>Feature query API/schema documented</t>
  </si>
  <si>
    <t>Feature query contract</t>
  </si>
  <si>
    <t>Query contract missing</t>
  </si>
  <si>
    <t>Define query interface</t>
  </si>
  <si>
    <t>Do not let each consumer read raw files differently</t>
  </si>
  <si>
    <t>Create query contract for label store</t>
  </si>
  <si>
    <t>Label query API/schema documented</t>
  </si>
  <si>
    <t>Label query contract</t>
  </si>
  <si>
    <t>Define label interface</t>
  </si>
  <si>
    <t>Do not mix label logic into every client</t>
  </si>
  <si>
    <t>Schedule recurring rebuild/update cadence</t>
  </si>
  <si>
    <t>Move from ad hoc to runtime service</t>
  </si>
  <si>
    <t>Rebuild cadence documented and runnable</t>
  </si>
  <si>
    <t>Ops schedule note</t>
  </si>
  <si>
    <t>No recurring runtime schedule</t>
  </si>
  <si>
    <t>Define scheduled rebuild/update process</t>
  </si>
  <si>
    <t>Do not rely on manual refresh only</t>
  </si>
  <si>
    <t>Intelligent Database</t>
  </si>
  <si>
    <t>Intelligent DB</t>
  </si>
  <si>
    <t>Design ingestion pipeline from registry + features + labels</t>
  </si>
  <si>
    <t>Need one runtime knowledge spine</t>
  </si>
  <si>
    <t>Ingestion pipeline builds unified store</t>
  </si>
  <si>
    <t>Ingestion report</t>
  </si>
  <si>
    <t>Unified ingestion missing</t>
  </si>
  <si>
    <t>Build ingestion pipeline</t>
  </si>
  <si>
    <t>Do not query fragmented sources manually</t>
  </si>
  <si>
    <t>Stand up feature store query path</t>
  </si>
  <si>
    <t>Need fast feature retrieval</t>
  </si>
  <si>
    <t>Feature queries meet latency/contract requirements</t>
  </si>
  <si>
    <t>Feature query benchmark</t>
  </si>
  <si>
    <t>Store not operational</t>
  </si>
  <si>
    <t>Implement and benchmark feature queries</t>
  </si>
  <si>
    <t>Do not read large flat files per request</t>
  </si>
  <si>
    <t>Stand up label store query path</t>
  </si>
  <si>
    <t>Need fast label retrieval</t>
  </si>
  <si>
    <t>Label queries meet latency/contract requirements</t>
  </si>
  <si>
    <t>Label query benchmark</t>
  </si>
  <si>
    <t>Implement and benchmark label queries</t>
  </si>
  <si>
    <t>Do not duplicate label logic in clients</t>
  </si>
  <si>
    <t>Stand up winner registry query path</t>
  </si>
  <si>
    <t>Need runtime candidate access</t>
  </si>
  <si>
    <t>Registry queries return approved truth consistently</t>
  </si>
  <si>
    <t>Registry query benchmark</t>
  </si>
  <si>
    <t>Runtime service missing</t>
  </si>
  <si>
    <t>Implement registry retrieval layer</t>
  </si>
  <si>
    <t>Do not let clients parse raw registry files</t>
  </si>
  <si>
    <t>Define retrieval contract for human and bot</t>
  </si>
  <si>
    <t>Need same truth for both consumers</t>
  </si>
  <si>
    <t>Single retrieval contract documented and tested</t>
  </si>
  <si>
    <t>Retrieval contract</t>
  </si>
  <si>
    <t>Contract gap</t>
  </si>
  <si>
    <t>Design one query contract for both users</t>
  </si>
  <si>
    <t>Do not split truth models across clients</t>
  </si>
  <si>
    <t>Implement retrieval ranking / similar-case lookup</t>
  </si>
  <si>
    <t>Support intelligence-assisted decisions</t>
  </si>
  <si>
    <t>Retrieval returns ranked relevant cases</t>
  </si>
  <si>
    <t>Retrieval test report</t>
  </si>
  <si>
    <t>Retrieval logic missing</t>
  </si>
  <si>
    <t>Implement ranking / vector or rule-based retrieval</t>
  </si>
  <si>
    <t>Do not hardcode per-client lookup rules</t>
  </si>
  <si>
    <t>Attach execution feedback to source intelligence records</t>
  </si>
  <si>
    <t>Close intelligence loop</t>
  </si>
  <si>
    <t>Executed outcomes map back to retrieved source records</t>
  </si>
  <si>
    <t>Feedback linkage test</t>
  </si>
  <si>
    <t>Feedback link missing</t>
  </si>
  <si>
    <t>Store retrieval IDs with execution outcomes</t>
  </si>
  <si>
    <t>Do not lose source-to-outcome mapping</t>
  </si>
  <si>
    <t>Set service SLOs and observability</t>
  </si>
  <si>
    <t>Need production operability</t>
  </si>
  <si>
    <t>Latency, error rate, and uptime metrics captured</t>
  </si>
  <si>
    <t>Service observability report</t>
  </si>
  <si>
    <t>Service ops not defined</t>
  </si>
  <si>
    <t>Add SLOs and monitoring</t>
  </si>
  <si>
    <t>Do not call runtime ready without observability</t>
  </si>
  <si>
    <t>Deployment</t>
  </si>
  <si>
    <t>Downstream / MT5</t>
  </si>
  <si>
    <t>Downstream Bot</t>
  </si>
  <si>
    <t>Consume approved package manifest only</t>
  </si>
  <si>
    <t>Prevent live path from reading raw exploratory truth</t>
  </si>
  <si>
    <t>Bot config points to approved package only</t>
  </si>
  <si>
    <t>Integration config check</t>
  </si>
  <si>
    <t>Approved-only path not enforced</t>
  </si>
  <si>
    <t>Switch bot readers to approved packages</t>
  </si>
  <si>
    <t>Do not read candidate/raw outputs directly</t>
  </si>
  <si>
    <t>Map approved strategy package to executable signal model</t>
  </si>
  <si>
    <t>Turn approved truth into live decision inputs</t>
  </si>
  <si>
    <t>Signal package parsing test passes</t>
  </si>
  <si>
    <t>Signal integration test</t>
  </si>
  <si>
    <t>Live adapter missing</t>
  </si>
  <si>
    <t>Build package-to-signal adapter</t>
  </si>
  <si>
    <t>Do not rebuild strategy truth inside bot</t>
  </si>
  <si>
    <t>Implement market polling / event cadence</t>
  </si>
  <si>
    <t>Need live trigger cadence</t>
  </si>
  <si>
    <t>Polling/event loop meets design cadence</t>
  </si>
  <si>
    <t>Runtime loop benchmark</t>
  </si>
  <si>
    <t>Live runtime not built</t>
  </si>
  <si>
    <t>Implement polling/event loop</t>
  </si>
  <si>
    <t>Do not overload live path with research cadence assumptions</t>
  </si>
  <si>
    <t>Implement multi-winner scan and conflict resolution</t>
  </si>
  <si>
    <t>Need controlled use of multiple approved candidates</t>
  </si>
  <si>
    <t>Conflict rules are versioned and tested</t>
  </si>
  <si>
    <t>Conflict resolution test</t>
  </si>
  <si>
    <t>Decision logic missing</t>
  </si>
  <si>
    <t>Build signal ranking/conflict logic</t>
  </si>
  <si>
    <t>Do not execute conflicting signals blindly</t>
  </si>
  <si>
    <t>Implement position tracking and exposure guard</t>
  </si>
  <si>
    <t>Need survivability controls</t>
  </si>
  <si>
    <t>Position/exposure guard passes scenario tests</t>
  </si>
  <si>
    <t>Risk control test</t>
  </si>
  <si>
    <t>Risk guard not operational</t>
  </si>
  <si>
    <t>Implement position/exposure controls</t>
  </si>
  <si>
    <t>Do not route orders without exposure guard</t>
  </si>
  <si>
    <t>Implement micro-exit live control</t>
  </si>
  <si>
    <t>Mandatory base layer must persist live</t>
  </si>
  <si>
    <t>Micro-exit live handler tested end-to-end</t>
  </si>
  <si>
    <t>Live exit test</t>
  </si>
  <si>
    <t>Live exit path missing</t>
  </si>
  <si>
    <t>Build live micro-exit control</t>
  </si>
  <si>
    <t>Do not downgrade live exits relative to research truth</t>
  </si>
  <si>
    <t>MT5 Integration</t>
  </si>
  <si>
    <t>Route approved signals to MT5 order layer</t>
  </si>
  <si>
    <t>Need actual execution integration</t>
  </si>
  <si>
    <t>Order route works in controlled environment</t>
  </si>
  <si>
    <t>MT5 integration test</t>
  </si>
  <si>
    <t>MT5 route open</t>
  </si>
  <si>
    <t>Build approved-signal order routing</t>
  </si>
  <si>
    <t>Do not integrate with unapproved signals</t>
  </si>
  <si>
    <t>Write execution outcomes back to central truth</t>
  </si>
  <si>
    <t>Close research-to-live feedback loop</t>
  </si>
  <si>
    <t>Execution log writes back with lineage IDs</t>
  </si>
  <si>
    <t>Feedback write test</t>
  </si>
  <si>
    <t>Feedback loop open</t>
  </si>
  <si>
    <t>Implement write-back path</t>
  </si>
  <si>
    <t>Do not leave live outcomes outside central system</t>
  </si>
  <si>
    <t>Ops Closure</t>
  </si>
  <si>
    <t>Operations</t>
  </si>
  <si>
    <t>Ops</t>
  </si>
  <si>
    <t>Run weekly relabel / rerank loop</t>
  </si>
  <si>
    <t>Keep intelligence current</t>
  </si>
  <si>
    <t>Weekly refresh pipeline runs on schedule</t>
  </si>
  <si>
    <t>Weekly refresh log</t>
  </si>
  <si>
    <t>Ops loop not operational</t>
  </si>
  <si>
    <t>Implement weekly relabel/rerank</t>
  </si>
  <si>
    <t>Do not freeze winners indefinitely</t>
  </si>
  <si>
    <t>Refresh winner registry on schedule</t>
  </si>
  <si>
    <t>Need controlled promotion/demotion cadence</t>
  </si>
  <si>
    <t>Registry refresh cadence documented and run</t>
  </si>
  <si>
    <t>Registry refresh log</t>
  </si>
  <si>
    <t>Ops cadence missing</t>
  </si>
  <si>
    <t>Automate weekly registry refresh</t>
  </si>
  <si>
    <t>Do not update winners ad hoc only</t>
  </si>
  <si>
    <t>Demote losers and stale candidates automatically</t>
  </si>
  <si>
    <t>Need lifecycle hygiene</t>
  </si>
  <si>
    <t>Demotion rules run and are auditable</t>
  </si>
  <si>
    <t>Demotion audit log</t>
  </si>
  <si>
    <t>Demotion automation missing</t>
  </si>
  <si>
    <t>Implement demotion logic</t>
  </si>
  <si>
    <t>Do not keep stale/losing candidates active</t>
  </si>
  <si>
    <t>Create disaster recovery runbook for data, execution, DB, and bot</t>
  </si>
  <si>
    <t>Need production survivability</t>
  </si>
  <si>
    <t>Runbook exists and recovery drill passes</t>
  </si>
  <si>
    <t>DR runbook + drill evidence</t>
  </si>
  <si>
    <t>No DR runbook</t>
  </si>
  <si>
    <t>Write and test DR procedures</t>
  </si>
  <si>
    <t>Do not call production-ready without DR</t>
  </si>
  <si>
    <t>Set alerting for execution failures, recovery failures, and stale data</t>
  </si>
  <si>
    <t>Need operator visibility</t>
  </si>
  <si>
    <t>Alerts trigger on defined failure conditions</t>
  </si>
  <si>
    <t>Alert test report</t>
  </si>
  <si>
    <t>Alerting not operational</t>
  </si>
  <si>
    <t>Implement alert rules and tests</t>
  </si>
  <si>
    <t>Do not depend on manual tailing only</t>
  </si>
  <si>
    <t>Track production KPIs (latency, fail rate, skipped resumes, approval lag, data freshness)</t>
  </si>
  <si>
    <t>Need measurable operations</t>
  </si>
  <si>
    <t>KPI dashboard or report exists</t>
  </si>
  <si>
    <t>Ops KPI report</t>
  </si>
  <si>
    <t>KPI framework missing</t>
  </si>
  <si>
    <t>Define and publish KPIs</t>
  </si>
  <si>
    <t>Do not manage production by anecdotes</t>
  </si>
  <si>
    <t>Create change control for strategy, data schema, runner, and DB contract updates</t>
  </si>
  <si>
    <t>Need safe evolution</t>
  </si>
  <si>
    <t>Change control policy exists and is used</t>
  </si>
  <si>
    <t>Change control policy</t>
  </si>
  <si>
    <t>Governance incomplete</t>
  </si>
  <si>
    <t>Implement change control workflow</t>
  </si>
  <si>
    <t>Do not hot-swap critical components silently</t>
  </si>
  <si>
    <t>Declare production readiness only when all critical gates are closed</t>
  </si>
  <si>
    <t>Need objective production decision</t>
  </si>
  <si>
    <t>Go-live checklist signed with evidence</t>
  </si>
  <si>
    <t>Production readiness pack</t>
  </si>
  <si>
    <t>Many gates still open</t>
  </si>
  <si>
    <t>Use gate-based readiness review</t>
  </si>
  <si>
    <t>Do not declare production from partial success</t>
  </si>
  <si>
    <t>Current Most Important Task</t>
  </si>
  <si>
    <t>Build / promote a truly resume-safe execution runner.</t>
  </si>
  <si>
    <t>Input Truth</t>
  </si>
  <si>
    <t>truth gate decision + truth_gate_seed_manifest + canonical dataset + locked TF rules</t>
  </si>
  <si>
    <t>Output Truth</t>
  </si>
  <si>
    <t>standardized result pack + explicit failure reasons + recovery metrics + same-outdir resume success</t>
  </si>
  <si>
    <t>Gap Closed</t>
  </si>
  <si>
    <t>RC-EXEC-RESUME-001 and related execution governance gaps</t>
  </si>
  <si>
    <t>Why This Is Next</t>
  </si>
  <si>
    <t>Current blocker is execution truth and recovery truth. Speed/cluster scale is secondary until Gate 4 is closed.</t>
  </si>
  <si>
    <t>Required Acceptance Test</t>
  </si>
  <si>
    <t>run -&gt; partial progress -&gt; kill -&gt; restart same outdir -&gt; verify skip completed work + no duplicate results + correct progress + visible recovery metrics</t>
  </si>
  <si>
    <t>Do not treat wrapper/watchdog as final answer. Do not rewrite around Ray now. Do not use per-attempt outdir as promoted recovery model.</t>
  </si>
  <si>
    <t>Decision Rule</t>
  </si>
  <si>
    <t>If a task does not move one OPEN gate closer to CLOSED, do not start it.</t>
  </si>
  <si>
    <t>Architecture Direction vs Current Priority</t>
  </si>
  <si>
    <t>Accepted Architecture Direction</t>
  </si>
  <si>
    <t>Parquet + Zstd, Polars Lazy scan_parquet(), Arrow/NumPy-friendly columnar path, custom Numba kernel, separated orchestration, Polars aggregation.</t>
  </si>
  <si>
    <t>Future Options</t>
  </si>
  <si>
    <t>Ray for distributed orchestration later; Optuna for adaptive search later.</t>
  </si>
  <si>
    <t>Not Current Next Action</t>
  </si>
  <si>
    <t>Do not replace current roadmap with HPC architecture work before Gate 4 closure.</t>
  </si>
  <si>
    <t>Question AI Must Answer Before Any New Task</t>
  </si>
  <si>
    <t>Required Answer Shape</t>
  </si>
  <si>
    <t>Reason</t>
  </si>
  <si>
    <t>Immediate Stop Conditions</t>
  </si>
  <si>
    <t>What layer is this task in?</t>
  </si>
  <si>
    <t>One of: Data / Evidence / Registry / Feature-Label / Intelligent DB / Downstream Bot / Ops</t>
  </si>
  <si>
    <t>Stops cross-layer drift</t>
  </si>
  <si>
    <t>STOP</t>
  </si>
  <si>
    <t>Counting scripts/specs as production progress</t>
  </si>
  <si>
    <t>What gate does this task move?</t>
  </si>
  <si>
    <t>Gate 1..7 or Ops Closure</t>
  </si>
  <si>
    <t>Prevents unrelated work</t>
  </si>
  <si>
    <t>Opening full-universe execution before truth gate + seed manifest</t>
  </si>
  <si>
    <t>What is the input truth?</t>
  </si>
  <si>
    <t>Exact artifact(s) consumed</t>
  </si>
  <si>
    <t>Avoids hidden assumptions</t>
  </si>
  <si>
    <t>Promoting runner versions without runner class and gate purpose</t>
  </si>
  <si>
    <t>What is the output truth?</t>
  </si>
  <si>
    <t>Exact artifact(s) produced</t>
  </si>
  <si>
    <t>Forces machine-readable deliverables</t>
  </si>
  <si>
    <t>Confusing orchestration logs with execution truth outputs</t>
  </si>
  <si>
    <t>What production gap closes?</t>
  </si>
  <si>
    <t>One named open gap only or primary gap</t>
  </si>
  <si>
    <t>Prevents vague progress claims</t>
  </si>
  <si>
    <t>Treating architecture ideas as current gate closure</t>
  </si>
  <si>
    <t>What is the allowed next step?</t>
  </si>
  <si>
    <t>One concrete next step</t>
  </si>
  <si>
    <t>Keeps work sequenced</t>
  </si>
  <si>
    <t>Using wrapper/watchdog as the final execution answer</t>
  </si>
  <si>
    <t>What is not allowed while doing this?</t>
  </si>
  <si>
    <t>Explicit prohibitions</t>
  </si>
  <si>
    <t>Guards against deviation</t>
  </si>
  <si>
    <t>Declaring production from partial success only</t>
  </si>
  <si>
    <t>Why does this move production forward?</t>
  </si>
  <si>
    <t>One or two sentences tied to gate closure</t>
  </si>
  <si>
    <t>Stops architecture distraction</t>
  </si>
  <si>
    <t>CURRENT PROJECT POSITION</t>
  </si>
  <si>
    <t>- Phase:</t>
  </si>
  <si>
    <t>- Current Gate:</t>
  </si>
  <si>
    <t>- Current Layer:</t>
  </si>
  <si>
    <t>- Runner Class:</t>
  </si>
  <si>
    <t>- Current Allowed Sequence Step:</t>
  </si>
  <si>
    <t>- Current Production Gap:</t>
  </si>
  <si>
    <t>- Last Proven Reality:</t>
  </si>
  <si>
    <t>- What is CLOSED:</t>
  </si>
  <si>
    <t>- What is still OPEN:</t>
  </si>
  <si>
    <t>- Exact Next Task:</t>
  </si>
  <si>
    <t>- Why this task is next:</t>
  </si>
  <si>
    <t>- Not Allowed:</t>
  </si>
  <si>
    <t>- Required evidence after completion:</t>
  </si>
  <si>
    <t>RULE:</t>
  </si>
  <si>
    <t>If the next task does not move one OPEN gate closer to CLOSED, do not start it.</t>
  </si>
  <si>
    <t>PRE-HANDOFF CHECKS</t>
  </si>
  <si>
    <t>[ ] I updated 03_DETAILED_CHECKLIST statuses</t>
  </si>
  <si>
    <t>[ ] I attached evidence artifact names or paths</t>
  </si>
  <si>
    <t>[ ] I wrote the current blocker clearly</t>
  </si>
  <si>
    <t>[ ] I wrote one exact next task only</t>
  </si>
  <si>
    <t>[ ] I listed what is not allowed next</t>
  </si>
  <si>
    <t>Date</t>
  </si>
  <si>
    <t>Artifact Name</t>
  </si>
  <si>
    <t>Artifact Path / Link</t>
  </si>
  <si>
    <t>What It Proves</t>
  </si>
  <si>
    <t>Pass/Fail</t>
  </si>
  <si>
    <t>2026-03-27</t>
  </si>
  <si>
    <t>Controlled clean 12-job run baseline</t>
  </si>
  <si>
    <t>local artifact</t>
  </si>
  <si>
    <t>A clean outdir and controlled execution can finish 12/12 jobs; useful baseline but not sufficient alone for resume-safe closure</t>
  </si>
  <si>
    <t>PASS</t>
  </si>
  <si>
    <t>Use as baseline evidence, not full gate closure</t>
  </si>
  <si>
    <t>Source Type</t>
  </si>
  <si>
    <t>Name</t>
  </si>
  <si>
    <t>Reference</t>
  </si>
  <si>
    <t>How Used</t>
  </si>
  <si>
    <t>Repo</t>
  </si>
  <si>
    <t>Bot_Data_Basese</t>
  </si>
  <si>
    <t>Top-level source of repo structure and project artifacts</t>
  </si>
  <si>
    <t>Uploaded file</t>
  </si>
  <si>
    <t>PROJECT_PROGRESSION_CHECKLIST.txt</t>
  </si>
  <si>
    <t>local upload</t>
  </si>
  <si>
    <t>Primary progression and anti-deviation basis</t>
  </si>
  <si>
    <t>Master Mapping Intelligent Data Base Production_v1_2_0.txt</t>
  </si>
  <si>
    <t>Production truth map, phases, gaps, sequence</t>
  </si>
  <si>
    <t>project conversation.txt</t>
  </si>
  <si>
    <t>Operational context and current position</t>
  </si>
  <si>
    <t>User-provided analysis</t>
  </si>
  <si>
    <t>Gemini HPC analysis</t>
  </si>
  <si>
    <t>in-chat user text</t>
  </si>
  <si>
    <t>Accepted as architecture direction only, not current next 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</si>
</sst>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yyyy\-mm\-dd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FF"/>
      <name val="Calibri"/>
      <charset val="134"/>
      <scheme val="minor"/>
    </font>
    <font>
      <b/>
      <sz val="11"/>
      <color rgb="FF7030A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3" borderId="0" xfId="0" applyFont="1" applyFill="1"/>
    <xf numFmtId="0" fontId="0" fillId="0" borderId="1" xfId="0" applyBorder="1"/>
    <xf numFmtId="0" fontId="0" fillId="4" borderId="0" xfId="0" applyFill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78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179" fontId="3" fillId="5" borderId="0" xfId="0" applyNumberFormat="1" applyFont="1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rgb="FFE2F0D9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haseGatesTable" displayName="PhaseGatesTable" ref="A1:H8">
  <autoFilter xmlns:etc="http://www.wps.cn/officeDocument/2017/etCustomData" ref="A1:H8" etc:filterBottomFollowUsedRange="0"/>
  <tableColumns count="8">
    <tableColumn id="1" name="Gate"/>
    <tableColumn id="2" name="Phase"/>
    <tableColumn id="3" name="Pass Only If"/>
    <tableColumn id="4" name="Current State"/>
    <tableColumn id="5" name="Why It Matters"/>
    <tableColumn id="6" name="Evidence Required"/>
    <tableColumn id="7" name="Immediate Next Move"/>
    <tableColumn id="8" name="Not Allow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tailedChecklistTable" displayName="DetailedChecklistTable" ref="A14:R93">
  <autoFilter xmlns:etc="http://www.wps.cn/officeDocument/2017/etCustomData" ref="A14:R93" etc:filterBottomFollowUsedRange="0"/>
  <tableColumns count="18">
    <tableColumn id="1" name="ID"/>
    <tableColumn id="2" name="Phase"/>
    <tableColumn id="3" name="Gate"/>
    <tableColumn id="4" name="Layer"/>
    <tableColumn id="5" name="Workstream"/>
    <tableColumn id="6" name="Task"/>
    <tableColumn id="7" name="Why"/>
    <tableColumn id="8" name="Exit Criteria"/>
    <tableColumn id="9" name="Evidence Artifact"/>
    <tableColumn id="10" name="Status"/>
    <tableColumn id="11" name="Priority"/>
    <tableColumn id="12" name="Current Blocker"/>
    <tableColumn id="13" name="Allowed Next Step"/>
    <tableColumn id="14" name="Not Allowed"/>
    <tableColumn id="15" name="Source"/>
    <tableColumn id="16" name="Owner"/>
    <tableColumn id="17" name="Target Date"/>
    <tableColumn id="1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idenceLogTable" displayName="EvidenceLogTable" ref="A1:H2">
  <autoFilter xmlns:etc="http://www.wps.cn/officeDocument/2017/etCustomData" ref="A1:H2" etc:filterBottomFollowUsedRange="0"/>
  <tableColumns count="8">
    <tableColumn id="1" name="Date"/>
    <tableColumn id="2" name="Phase"/>
    <tableColumn id="3" name="Gate"/>
    <tableColumn id="4" name="Artifact Name"/>
    <tableColumn id="5" name="Artifact Path / Link"/>
    <tableColumn id="6" name="What It Proves"/>
    <tableColumn id="7" name="Pass/Fail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RegisterTable" displayName="SourceRegisterTable" ref="A1:D6">
  <autoFilter xmlns:etc="http://www.wps.cn/officeDocument/2017/etCustomData" ref="A1:D6" etc:filterBottomFollowUsedRange="0"/>
  <tableColumns count="4">
    <tableColumn id="1" name="Source Type"/>
    <tableColumn id="2" name="Name"/>
    <tableColumn id="3" name="Reference"/>
    <tableColumn id="4" name="How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showGridLines="0" topLeftCell="A7" workbookViewId="0">
      <selection activeCell="B27" sqref="B27"/>
    </sheetView>
  </sheetViews>
  <sheetFormatPr defaultColWidth="9" defaultRowHeight="15" outlineLevelCol="1"/>
  <cols>
    <col min="1" max="1" width="28" customWidth="1"/>
    <col min="2" max="2" width="112" customWidth="1"/>
  </cols>
  <sheetData>
    <row r="1" spans="1:2">
      <c r="A1" s="2" t="s">
        <v>0</v>
      </c>
      <c r="B1" s="4" t="s">
        <v>1</v>
      </c>
    </row>
    <row r="2" spans="1:2">
      <c r="A2" s="3" t="s">
        <v>2</v>
      </c>
      <c r="B2" s="7" t="s">
        <v>3</v>
      </c>
    </row>
    <row r="3" spans="1:2">
      <c r="A3" s="3" t="s">
        <v>4</v>
      </c>
      <c r="B3" s="7" t="s">
        <v>5</v>
      </c>
    </row>
    <row r="4" spans="1:2">
      <c r="A4" s="3" t="s">
        <v>6</v>
      </c>
      <c r="B4" s="7" t="s">
        <v>7</v>
      </c>
    </row>
    <row r="5" ht="30" spans="1:2">
      <c r="A5" s="3" t="s">
        <v>8</v>
      </c>
      <c r="B5" s="7" t="s">
        <v>9</v>
      </c>
    </row>
    <row r="6" ht="30" spans="1:2">
      <c r="A6" s="3" t="s">
        <v>10</v>
      </c>
      <c r="B6" s="7" t="s">
        <v>11</v>
      </c>
    </row>
    <row r="7" ht="30" spans="1:2">
      <c r="A7" s="3" t="s">
        <v>12</v>
      </c>
      <c r="B7" s="7" t="s">
        <v>13</v>
      </c>
    </row>
    <row r="8" spans="1:2">
      <c r="A8" s="3" t="s">
        <v>14</v>
      </c>
      <c r="B8" s="7" t="s">
        <v>15</v>
      </c>
    </row>
    <row r="9" spans="1:2">
      <c r="A9" s="3" t="s">
        <v>16</v>
      </c>
      <c r="B9" s="7" t="s">
        <v>17</v>
      </c>
    </row>
    <row r="11" spans="1:1">
      <c r="A11" s="8" t="s">
        <v>18</v>
      </c>
    </row>
    <row r="12" spans="1:2">
      <c r="A12" t="s">
        <v>19</v>
      </c>
      <c r="B12" t="s">
        <v>20</v>
      </c>
    </row>
    <row r="13" spans="1:2">
      <c r="A13" t="s">
        <v>19</v>
      </c>
      <c r="B13" t="s">
        <v>21</v>
      </c>
    </row>
    <row r="14" spans="1:2">
      <c r="A14" t="s">
        <v>19</v>
      </c>
      <c r="B14" t="s">
        <v>22</v>
      </c>
    </row>
    <row r="15" spans="1:2">
      <c r="A15" t="s">
        <v>19</v>
      </c>
      <c r="B15" t="s">
        <v>23</v>
      </c>
    </row>
    <row r="16" spans="1:2">
      <c r="A16" t="s">
        <v>19</v>
      </c>
      <c r="B16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showGridLines="0" tabSelected="1" workbookViewId="0">
      <selection activeCell="B23" sqref="B23"/>
    </sheetView>
  </sheetViews>
  <sheetFormatPr defaultColWidth="9" defaultRowHeight="15" outlineLevelCol="1"/>
  <cols>
    <col min="1" max="1" width="34" customWidth="1"/>
    <col min="2" max="2" width="100" customWidth="1"/>
  </cols>
  <sheetData>
    <row r="1" spans="1:2">
      <c r="A1" s="2" t="s">
        <v>25</v>
      </c>
      <c r="B1" s="6" t="s">
        <v>7</v>
      </c>
    </row>
    <row r="2" spans="1:2">
      <c r="A2" s="3" t="s">
        <v>26</v>
      </c>
      <c r="B2" s="7" t="s">
        <v>27</v>
      </c>
    </row>
    <row r="3" spans="1:2">
      <c r="A3" s="3" t="s">
        <v>28</v>
      </c>
      <c r="B3" s="7" t="s">
        <v>29</v>
      </c>
    </row>
    <row r="4" spans="1:2">
      <c r="A4" s="3" t="s">
        <v>30</v>
      </c>
      <c r="B4" s="7" t="s">
        <v>31</v>
      </c>
    </row>
    <row r="5" ht="30" spans="1:2">
      <c r="A5" s="3" t="s">
        <v>32</v>
      </c>
      <c r="B5" s="7" t="s">
        <v>33</v>
      </c>
    </row>
    <row r="6" ht="30" spans="1:2">
      <c r="A6" s="3" t="s">
        <v>34</v>
      </c>
      <c r="B6" s="7" t="s">
        <v>35</v>
      </c>
    </row>
    <row r="7" ht="30" spans="1:2">
      <c r="A7" s="3" t="s">
        <v>36</v>
      </c>
      <c r="B7" s="7" t="s">
        <v>37</v>
      </c>
    </row>
    <row r="8" ht="30" spans="1:2">
      <c r="A8" s="3" t="s">
        <v>38</v>
      </c>
      <c r="B8" s="7" t="s">
        <v>39</v>
      </c>
    </row>
    <row r="10" spans="1:1">
      <c r="A10" s="8" t="s">
        <v>40</v>
      </c>
    </row>
    <row r="11" spans="1:2">
      <c r="A11" t="s">
        <v>41</v>
      </c>
      <c r="B11" t="s">
        <v>42</v>
      </c>
    </row>
    <row r="12" spans="1:2">
      <c r="A12" t="s">
        <v>43</v>
      </c>
      <c r="B12" t="s">
        <v>44</v>
      </c>
    </row>
    <row r="13" spans="1:2">
      <c r="A13" t="s">
        <v>45</v>
      </c>
      <c r="B13" t="s">
        <v>44</v>
      </c>
    </row>
    <row r="14" spans="1:2">
      <c r="A14" t="s">
        <v>46</v>
      </c>
      <c r="B14" t="s">
        <v>44</v>
      </c>
    </row>
    <row r="15" spans="1:2">
      <c r="A15" t="s">
        <v>47</v>
      </c>
      <c r="B15" t="s">
        <v>48</v>
      </c>
    </row>
    <row r="16" spans="1:2">
      <c r="A16" t="s">
        <v>49</v>
      </c>
      <c r="B16" t="s">
        <v>50</v>
      </c>
    </row>
    <row r="17" spans="1:2">
      <c r="A17" t="s">
        <v>51</v>
      </c>
      <c r="B17" t="s">
        <v>50</v>
      </c>
    </row>
    <row r="18" spans="1:2">
      <c r="A18" t="s">
        <v>52</v>
      </c>
      <c r="B18" t="s">
        <v>50</v>
      </c>
    </row>
    <row r="19" spans="1:2">
      <c r="A19" t="s">
        <v>53</v>
      </c>
      <c r="B19" t="s">
        <v>50</v>
      </c>
    </row>
    <row r="20" spans="1:2">
      <c r="A20" t="s">
        <v>54</v>
      </c>
      <c r="B20" t="s">
        <v>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showGridLines="0" workbookViewId="0">
      <selection activeCell="A1" sqref="A1"/>
    </sheetView>
  </sheetViews>
  <sheetFormatPr defaultColWidth="9" defaultRowHeight="15" outlineLevelRow="7" outlineLevelCol="7"/>
  <cols>
    <col min="1" max="1" width="12" customWidth="1"/>
    <col min="2" max="2" width="26" customWidth="1"/>
    <col min="3" max="3" width="48" customWidth="1"/>
    <col min="4" max="4" width="14" customWidth="1"/>
    <col min="5" max="5" width="32" customWidth="1"/>
    <col min="6" max="6" width="36" customWidth="1"/>
    <col min="7" max="8" width="34" customWidth="1"/>
  </cols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</row>
    <row r="3" spans="1:8">
      <c r="A3" t="s">
        <v>71</v>
      </c>
      <c r="B3" t="s">
        <v>72</v>
      </c>
      <c r="C3" t="s">
        <v>73</v>
      </c>
      <c r="D3" t="s">
        <v>66</v>
      </c>
      <c r="E3" t="s">
        <v>74</v>
      </c>
      <c r="F3" t="s">
        <v>75</v>
      </c>
      <c r="G3" t="s">
        <v>76</v>
      </c>
      <c r="H3" t="s">
        <v>77</v>
      </c>
    </row>
    <row r="4" spans="1:8">
      <c r="A4" t="s">
        <v>78</v>
      </c>
      <c r="B4" t="s">
        <v>79</v>
      </c>
      <c r="C4" t="s">
        <v>80</v>
      </c>
      <c r="D4" t="s">
        <v>66</v>
      </c>
      <c r="E4" t="s">
        <v>81</v>
      </c>
      <c r="F4" t="s">
        <v>82</v>
      </c>
      <c r="G4" t="s">
        <v>83</v>
      </c>
      <c r="H4" t="s">
        <v>84</v>
      </c>
    </row>
    <row r="5" spans="1:8">
      <c r="A5" t="s">
        <v>85</v>
      </c>
      <c r="B5" t="s">
        <v>86</v>
      </c>
      <c r="C5" t="s">
        <v>87</v>
      </c>
      <c r="D5" t="s">
        <v>66</v>
      </c>
      <c r="E5" t="s">
        <v>88</v>
      </c>
      <c r="F5" t="s">
        <v>89</v>
      </c>
      <c r="G5" t="s">
        <v>90</v>
      </c>
      <c r="H5" t="s">
        <v>91</v>
      </c>
    </row>
    <row r="6" spans="1:8">
      <c r="A6" t="s">
        <v>92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  <c r="H6" t="s">
        <v>99</v>
      </c>
    </row>
    <row r="7" spans="1:8">
      <c r="A7" t="s">
        <v>100</v>
      </c>
      <c r="B7" t="s">
        <v>101</v>
      </c>
      <c r="C7" t="s">
        <v>102</v>
      </c>
      <c r="D7" t="s">
        <v>95</v>
      </c>
      <c r="E7" t="s">
        <v>103</v>
      </c>
      <c r="F7" t="s">
        <v>104</v>
      </c>
      <c r="G7" t="s">
        <v>105</v>
      </c>
      <c r="H7" t="s">
        <v>106</v>
      </c>
    </row>
    <row r="8" spans="1:8">
      <c r="A8" t="s">
        <v>107</v>
      </c>
      <c r="B8" t="s">
        <v>108</v>
      </c>
      <c r="C8" t="s">
        <v>109</v>
      </c>
      <c r="D8" t="s">
        <v>95</v>
      </c>
      <c r="E8" t="s">
        <v>110</v>
      </c>
      <c r="F8" t="s">
        <v>111</v>
      </c>
      <c r="G8" t="s">
        <v>112</v>
      </c>
      <c r="H8" t="s">
        <v>113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3"/>
  <sheetViews>
    <sheetView showGridLines="0" topLeftCell="A36" workbookViewId="0">
      <selection activeCell="A7" sqref="$A7:$XFD7"/>
    </sheetView>
  </sheetViews>
  <sheetFormatPr defaultColWidth="9" defaultRowHeight="15"/>
  <cols>
    <col min="1" max="1" width="24.4285714285714" customWidth="1"/>
    <col min="2" max="3" width="12" customWidth="1"/>
    <col min="4" max="4" width="18" customWidth="1"/>
    <col min="5" max="5" width="20" customWidth="1"/>
    <col min="6" max="6" width="42" customWidth="1"/>
    <col min="7" max="8" width="28" customWidth="1"/>
    <col min="9" max="9" width="24" customWidth="1"/>
    <col min="10" max="10" width="14" customWidth="1"/>
    <col min="11" max="11" width="10" customWidth="1"/>
    <col min="12" max="13" width="22" customWidth="1"/>
    <col min="14" max="14" width="26" customWidth="1"/>
    <col min="15" max="15" width="58" customWidth="1"/>
    <col min="16" max="16" width="16" customWidth="1"/>
    <col min="17" max="17" width="14" customWidth="1"/>
    <col min="18" max="18" width="28" customWidth="1"/>
    <col min="19" max="21" width="10" hidden="1" customWidth="1"/>
    <col min="22" max="22" width="12" hidden="1" customWidth="1"/>
  </cols>
  <sheetData>
    <row r="1" ht="28" customHeight="1" spans="1:22">
      <c r="A1" s="9" t="s">
        <v>114</v>
      </c>
      <c r="B1" s="4"/>
      <c r="C1" s="4"/>
      <c r="D1" s="9" t="s">
        <v>115</v>
      </c>
      <c r="E1" s="4"/>
      <c r="F1" s="4"/>
      <c r="G1" s="4"/>
      <c r="H1" s="4"/>
      <c r="I1" s="4"/>
      <c r="J1" s="4"/>
      <c r="K1" s="4"/>
      <c r="L1" s="9" t="s">
        <v>116</v>
      </c>
      <c r="M1" s="4"/>
      <c r="N1" s="4"/>
      <c r="O1" s="4"/>
      <c r="P1" s="4"/>
      <c r="Q1" s="4"/>
      <c r="R1" s="4"/>
      <c r="S1" s="4"/>
      <c r="T1" s="4"/>
      <c r="U1" s="4"/>
      <c r="V1" s="4"/>
    </row>
    <row r="2" ht="21" customHeight="1" spans="1:12">
      <c r="A2" s="10" t="s">
        <v>117</v>
      </c>
      <c r="B2" s="11">
        <v>20</v>
      </c>
      <c r="D2" s="10" t="s">
        <v>56</v>
      </c>
      <c r="E2" s="10" t="s">
        <v>118</v>
      </c>
      <c r="F2" s="10" t="s">
        <v>119</v>
      </c>
      <c r="G2" s="10" t="s">
        <v>120</v>
      </c>
      <c r="H2" s="10" t="s">
        <v>50</v>
      </c>
      <c r="I2" s="10" t="s">
        <v>121</v>
      </c>
      <c r="J2" s="10" t="s">
        <v>122</v>
      </c>
      <c r="L2" s="11" t="s">
        <v>123</v>
      </c>
    </row>
    <row r="3" ht="21" customHeight="1" spans="1:12">
      <c r="A3" s="10" t="s">
        <v>124</v>
      </c>
      <c r="B3" s="11">
        <f>SUM(S15:S194)+SUM(T15:T194)+SUM(U15:U194)+SUM(V15:V194)</f>
        <v>79</v>
      </c>
      <c r="D3" s="11" t="s">
        <v>125</v>
      </c>
      <c r="E3" s="11">
        <f>SUM(S15:S20)+SUM(T15:T20)+SUM(U15:U20)+SUM(V15:V20)</f>
        <v>6</v>
      </c>
      <c r="F3" s="11">
        <f>SUM(S15:S20)</f>
        <v>6</v>
      </c>
      <c r="G3" s="11">
        <f>SUM(T15:T20)</f>
        <v>0</v>
      </c>
      <c r="H3" s="11">
        <f>SUM(U15:U20)</f>
        <v>0</v>
      </c>
      <c r="I3" s="11">
        <f>SUM(V15:V20)</f>
        <v>0</v>
      </c>
      <c r="J3" s="12">
        <f t="shared" ref="J3:J12" si="0">IFERROR(F3/E3,0)</f>
        <v>1</v>
      </c>
      <c r="L3" s="11" t="s">
        <v>126</v>
      </c>
    </row>
    <row r="4" customHeight="1" spans="1:12">
      <c r="A4" s="10" t="s">
        <v>119</v>
      </c>
      <c r="B4" s="11">
        <f>SUM(S15:S194)</f>
        <v>7</v>
      </c>
      <c r="D4" s="11" t="s">
        <v>127</v>
      </c>
      <c r="E4" s="11">
        <f>SUM(S21:S28)+SUM(T21:T28)+SUM(U21:U28)+SUM(V21:V28)</f>
        <v>8</v>
      </c>
      <c r="F4" s="11">
        <f>SUM(S21:S28)</f>
        <v>1</v>
      </c>
      <c r="G4" s="11">
        <f>SUM(T21:T28)</f>
        <v>2</v>
      </c>
      <c r="H4" s="11">
        <f>SUM(U21:U28)</f>
        <v>5</v>
      </c>
      <c r="I4" s="11">
        <f>SUM(V21:V28)</f>
        <v>0</v>
      </c>
      <c r="J4" s="12">
        <f t="shared" si="0"/>
        <v>0.125</v>
      </c>
      <c r="L4" s="11" t="s">
        <v>128</v>
      </c>
    </row>
    <row r="5" ht="24" customHeight="1" spans="1:12">
      <c r="A5" s="10" t="s">
        <v>120</v>
      </c>
      <c r="B5" s="11">
        <f>SUM(T15:T194)</f>
        <v>10</v>
      </c>
      <c r="D5" s="11" t="s">
        <v>129</v>
      </c>
      <c r="E5" s="11">
        <f>SUM(S29:S36)+SUM(T29:T36)+SUM(U29:U36)+SUM(V29:V36)</f>
        <v>8</v>
      </c>
      <c r="F5" s="11">
        <f>SUM(S29:S36)</f>
        <v>0</v>
      </c>
      <c r="G5" s="11">
        <f>SUM(T29:T36)</f>
        <v>4</v>
      </c>
      <c r="H5" s="11">
        <f>SUM(U29:U36)</f>
        <v>4</v>
      </c>
      <c r="I5" s="11">
        <f>SUM(V29:V36)</f>
        <v>0</v>
      </c>
      <c r="J5" s="12">
        <f t="shared" si="0"/>
        <v>0</v>
      </c>
      <c r="L5" s="11" t="s">
        <v>130</v>
      </c>
    </row>
    <row r="6" spans="1:10">
      <c r="A6" s="10" t="s">
        <v>131</v>
      </c>
      <c r="B6" s="11">
        <f>SUM(U15:U194)</f>
        <v>62</v>
      </c>
      <c r="D6" s="11" t="s">
        <v>132</v>
      </c>
      <c r="E6" s="11">
        <f>SUM(S37:S42)+SUM(T37:T42)+SUM(U37:U42)+SUM(V37:V42)</f>
        <v>6</v>
      </c>
      <c r="F6" s="11">
        <f>SUM(S37:S42)</f>
        <v>0</v>
      </c>
      <c r="G6" s="11">
        <f>SUM(T37:T42)</f>
        <v>2</v>
      </c>
      <c r="H6" s="11">
        <f>SUM(U37:U42)</f>
        <v>4</v>
      </c>
      <c r="I6" s="11">
        <f>SUM(V37:V42)</f>
        <v>0</v>
      </c>
      <c r="J6" s="12">
        <f t="shared" si="0"/>
        <v>0</v>
      </c>
    </row>
    <row r="7" spans="1:10">
      <c r="A7" s="10" t="s">
        <v>121</v>
      </c>
      <c r="B7" s="11">
        <f>SUM(V15:V194)</f>
        <v>0</v>
      </c>
      <c r="D7" s="11" t="s">
        <v>133</v>
      </c>
      <c r="E7" s="11">
        <f>SUM(S43:S54)+SUM(T43:T54)+SUM(U43:U54)+SUM(V43:V54)</f>
        <v>12</v>
      </c>
      <c r="F7" s="11">
        <f>SUM(S43:S54)</f>
        <v>0</v>
      </c>
      <c r="G7" s="11">
        <f>SUM(T43:T54)</f>
        <v>2</v>
      </c>
      <c r="H7" s="11">
        <f>SUM(U43:U54)</f>
        <v>10</v>
      </c>
      <c r="I7" s="11">
        <f>SUM(V43:V54)</f>
        <v>0</v>
      </c>
      <c r="J7" s="12">
        <f t="shared" si="0"/>
        <v>0</v>
      </c>
    </row>
    <row r="8" ht="25" customHeight="1" spans="1:10">
      <c r="A8" s="10" t="s">
        <v>134</v>
      </c>
      <c r="B8" s="12">
        <f>IFERROR(B4/B3,0)</f>
        <v>0.0886075949367089</v>
      </c>
      <c r="D8" s="11" t="s">
        <v>135</v>
      </c>
      <c r="E8" s="11">
        <f>SUM(S55:S61)+SUM(T55:T61)+SUM(U55:U61)+SUM(V55:V61)</f>
        <v>7</v>
      </c>
      <c r="F8" s="11">
        <f>SUM(S55:S61)</f>
        <v>0</v>
      </c>
      <c r="G8" s="11">
        <f>SUM(T55:T61)</f>
        <v>0</v>
      </c>
      <c r="H8" s="11">
        <f>SUM(U55:U61)</f>
        <v>7</v>
      </c>
      <c r="I8" s="11">
        <f>SUM(V55:V61)</f>
        <v>0</v>
      </c>
      <c r="J8" s="12">
        <f t="shared" si="0"/>
        <v>0</v>
      </c>
    </row>
    <row r="9" spans="4:10">
      <c r="D9" s="11" t="s">
        <v>136</v>
      </c>
      <c r="E9" s="11">
        <f>SUM(S62:S69)+SUM(T62:T69)+SUM(U62:U69)+SUM(V62:V69)</f>
        <v>8</v>
      </c>
      <c r="F9" s="11">
        <f>SUM(S62:S69)</f>
        <v>0</v>
      </c>
      <c r="G9" s="11">
        <f>SUM(T62:T69)</f>
        <v>0</v>
      </c>
      <c r="H9" s="11">
        <f>SUM(U62:U69)</f>
        <v>8</v>
      </c>
      <c r="I9" s="11">
        <f>SUM(V62:V69)</f>
        <v>0</v>
      </c>
      <c r="J9" s="12">
        <f t="shared" si="0"/>
        <v>0</v>
      </c>
    </row>
    <row r="10" spans="4:10">
      <c r="D10" s="11" t="s">
        <v>137</v>
      </c>
      <c r="E10" s="11">
        <f>SUM(S70:S77)+SUM(T70:T77)+SUM(U70:U77)+SUM(V70:V77)</f>
        <v>8</v>
      </c>
      <c r="F10" s="11">
        <f>SUM(S70:S77)</f>
        <v>0</v>
      </c>
      <c r="G10" s="11">
        <f>SUM(T70:T77)</f>
        <v>0</v>
      </c>
      <c r="H10" s="11">
        <f>SUM(U70:U77)</f>
        <v>8</v>
      </c>
      <c r="I10" s="11">
        <f>SUM(V70:V77)</f>
        <v>0</v>
      </c>
      <c r="J10" s="12">
        <f t="shared" si="0"/>
        <v>0</v>
      </c>
    </row>
    <row r="11" spans="4:10">
      <c r="D11" s="11" t="s">
        <v>138</v>
      </c>
      <c r="E11" s="11">
        <f>SUM(S78:S85)+SUM(T78:T85)+SUM(U78:U85)+SUM(V78:V85)</f>
        <v>8</v>
      </c>
      <c r="F11" s="11">
        <f>SUM(S78:S85)</f>
        <v>0</v>
      </c>
      <c r="G11" s="11">
        <f>SUM(T78:T85)</f>
        <v>0</v>
      </c>
      <c r="H11" s="11">
        <f>SUM(U78:U85)</f>
        <v>8</v>
      </c>
      <c r="I11" s="11">
        <f>SUM(V78:V85)</f>
        <v>0</v>
      </c>
      <c r="J11" s="12">
        <f t="shared" si="0"/>
        <v>0</v>
      </c>
    </row>
    <row r="12" spans="4:10">
      <c r="D12" s="11" t="s">
        <v>139</v>
      </c>
      <c r="E12" s="11">
        <f>SUM(S86:S93)+SUM(T86:T93)+SUM(U86:U93)+SUM(V86:V93)</f>
        <v>8</v>
      </c>
      <c r="F12" s="11">
        <f>SUM(S86:S93)</f>
        <v>0</v>
      </c>
      <c r="G12" s="11">
        <f>SUM(T86:T93)</f>
        <v>0</v>
      </c>
      <c r="H12" s="11">
        <f>SUM(U86:U93)</f>
        <v>8</v>
      </c>
      <c r="I12" s="11">
        <f>SUM(V86:V93)</f>
        <v>0</v>
      </c>
      <c r="J12" s="12">
        <f t="shared" si="0"/>
        <v>0</v>
      </c>
    </row>
    <row r="14" spans="1:22">
      <c r="A14" s="13" t="s">
        <v>140</v>
      </c>
      <c r="B14" s="13" t="s">
        <v>56</v>
      </c>
      <c r="C14" s="13" t="s">
        <v>55</v>
      </c>
      <c r="D14" s="13" t="s">
        <v>141</v>
      </c>
      <c r="E14" s="13" t="s">
        <v>142</v>
      </c>
      <c r="F14" s="13" t="s">
        <v>143</v>
      </c>
      <c r="G14" s="13" t="s">
        <v>144</v>
      </c>
      <c r="H14" s="13" t="s">
        <v>145</v>
      </c>
      <c r="I14" s="13" t="s">
        <v>146</v>
      </c>
      <c r="J14" s="13" t="s">
        <v>147</v>
      </c>
      <c r="K14" s="13" t="s">
        <v>148</v>
      </c>
      <c r="L14" s="13" t="s">
        <v>149</v>
      </c>
      <c r="M14" s="13" t="s">
        <v>150</v>
      </c>
      <c r="N14" s="13" t="s">
        <v>62</v>
      </c>
      <c r="O14" s="13" t="s">
        <v>151</v>
      </c>
      <c r="P14" s="13" t="s">
        <v>152</v>
      </c>
      <c r="Q14" s="13" t="s">
        <v>153</v>
      </c>
      <c r="R14" s="13" t="s">
        <v>154</v>
      </c>
      <c r="S14" s="13" t="s">
        <v>155</v>
      </c>
      <c r="T14" s="13" t="s">
        <v>156</v>
      </c>
      <c r="U14" s="13" t="s">
        <v>157</v>
      </c>
      <c r="V14" s="13" t="s">
        <v>158</v>
      </c>
    </row>
    <row r="15" ht="45" spans="1:22">
      <c r="A15" s="11">
        <v>1</v>
      </c>
      <c r="B15" s="11" t="s">
        <v>125</v>
      </c>
      <c r="C15" s="11" t="s">
        <v>159</v>
      </c>
      <c r="D15" s="11" t="s">
        <v>160</v>
      </c>
      <c r="E15" s="11" t="s">
        <v>161</v>
      </c>
      <c r="F15" s="11" t="s">
        <v>162</v>
      </c>
      <c r="G15" s="11" t="s">
        <v>163</v>
      </c>
      <c r="H15" s="11" t="s">
        <v>164</v>
      </c>
      <c r="I15" s="11" t="s">
        <v>165</v>
      </c>
      <c r="J15" s="14" t="s">
        <v>166</v>
      </c>
      <c r="K15" s="15" t="s">
        <v>167</v>
      </c>
      <c r="L15" s="11" t="s">
        <v>168</v>
      </c>
      <c r="M15" s="11" t="s">
        <v>169</v>
      </c>
      <c r="N15" s="11" t="s">
        <v>170</v>
      </c>
      <c r="O15" s="11" t="s">
        <v>171</v>
      </c>
      <c r="P15" s="14" t="s">
        <v>1</v>
      </c>
      <c r="Q15" s="16" t="s">
        <v>1</v>
      </c>
      <c r="R15" s="14" t="s">
        <v>1</v>
      </c>
      <c r="S15" s="11">
        <f t="shared" ref="S15:S78" si="1">IF($J15="DONE",1,0)</f>
        <v>1</v>
      </c>
      <c r="T15" s="11">
        <f t="shared" ref="T15:T78" si="2">IF($J15="IN_PROGRESS",1,0)</f>
        <v>0</v>
      </c>
      <c r="U15" s="11">
        <f t="shared" ref="U15:U78" si="3">IF(OR($J15="OPEN",$J15="NOT_STARTED"),1,0)</f>
        <v>0</v>
      </c>
      <c r="V15" s="11">
        <f t="shared" ref="V15:V78" si="4">IF($J15="BLOCKED",1,0)</f>
        <v>0</v>
      </c>
    </row>
    <row r="16" ht="60" spans="1:22">
      <c r="A16" s="11">
        <v>2</v>
      </c>
      <c r="B16" s="11" t="s">
        <v>125</v>
      </c>
      <c r="C16" s="11" t="s">
        <v>159</v>
      </c>
      <c r="D16" s="11" t="s">
        <v>160</v>
      </c>
      <c r="E16" s="11" t="s">
        <v>161</v>
      </c>
      <c r="F16" s="11" t="s">
        <v>172</v>
      </c>
      <c r="G16" s="11" t="s">
        <v>173</v>
      </c>
      <c r="H16" s="11" t="s">
        <v>174</v>
      </c>
      <c r="I16" s="11" t="s">
        <v>175</v>
      </c>
      <c r="J16" s="14" t="s">
        <v>166</v>
      </c>
      <c r="K16" s="15" t="s">
        <v>167</v>
      </c>
      <c r="L16" s="11" t="s">
        <v>168</v>
      </c>
      <c r="M16" s="11" t="s">
        <v>176</v>
      </c>
      <c r="N16" s="11" t="s">
        <v>177</v>
      </c>
      <c r="O16" s="11" t="s">
        <v>171</v>
      </c>
      <c r="P16" s="14" t="s">
        <v>1</v>
      </c>
      <c r="Q16" s="16" t="s">
        <v>1</v>
      </c>
      <c r="R16" s="14" t="s">
        <v>1</v>
      </c>
      <c r="S16" s="11">
        <f t="shared" si="1"/>
        <v>1</v>
      </c>
      <c r="T16" s="11">
        <f t="shared" si="2"/>
        <v>0</v>
      </c>
      <c r="U16" s="11">
        <f t="shared" si="3"/>
        <v>0</v>
      </c>
      <c r="V16" s="11">
        <f t="shared" si="4"/>
        <v>0</v>
      </c>
    </row>
    <row r="17" ht="45" spans="1:22">
      <c r="A17" s="11">
        <v>3</v>
      </c>
      <c r="B17" s="11" t="s">
        <v>125</v>
      </c>
      <c r="C17" s="11" t="s">
        <v>159</v>
      </c>
      <c r="D17" s="11" t="s">
        <v>160</v>
      </c>
      <c r="E17" s="11" t="s">
        <v>161</v>
      </c>
      <c r="F17" s="11" t="s">
        <v>178</v>
      </c>
      <c r="G17" s="11" t="s">
        <v>179</v>
      </c>
      <c r="H17" s="11" t="s">
        <v>180</v>
      </c>
      <c r="I17" s="11" t="s">
        <v>181</v>
      </c>
      <c r="J17" s="14" t="s">
        <v>166</v>
      </c>
      <c r="K17" s="15" t="s">
        <v>167</v>
      </c>
      <c r="L17" s="11" t="s">
        <v>168</v>
      </c>
      <c r="M17" s="11" t="s">
        <v>182</v>
      </c>
      <c r="N17" s="11" t="s">
        <v>183</v>
      </c>
      <c r="O17" s="11" t="s">
        <v>171</v>
      </c>
      <c r="P17" s="14" t="s">
        <v>1</v>
      </c>
      <c r="Q17" s="16" t="s">
        <v>1</v>
      </c>
      <c r="R17" s="14" t="s">
        <v>1</v>
      </c>
      <c r="S17" s="11">
        <f t="shared" si="1"/>
        <v>1</v>
      </c>
      <c r="T17" s="11">
        <f t="shared" si="2"/>
        <v>0</v>
      </c>
      <c r="U17" s="11">
        <f t="shared" si="3"/>
        <v>0</v>
      </c>
      <c r="V17" s="11">
        <f t="shared" si="4"/>
        <v>0</v>
      </c>
    </row>
    <row r="18" ht="45" spans="1:22">
      <c r="A18" s="11">
        <v>4</v>
      </c>
      <c r="B18" s="11" t="s">
        <v>125</v>
      </c>
      <c r="C18" s="11" t="s">
        <v>159</v>
      </c>
      <c r="D18" s="11" t="s">
        <v>160</v>
      </c>
      <c r="E18" s="11" t="s">
        <v>161</v>
      </c>
      <c r="F18" s="11" t="s">
        <v>184</v>
      </c>
      <c r="G18" s="11" t="s">
        <v>185</v>
      </c>
      <c r="H18" s="11" t="s">
        <v>186</v>
      </c>
      <c r="I18" s="11" t="s">
        <v>187</v>
      </c>
      <c r="J18" s="14" t="s">
        <v>166</v>
      </c>
      <c r="K18" s="15" t="s">
        <v>167</v>
      </c>
      <c r="L18" s="11" t="s">
        <v>168</v>
      </c>
      <c r="M18" s="11" t="s">
        <v>188</v>
      </c>
      <c r="N18" s="11" t="s">
        <v>189</v>
      </c>
      <c r="O18" s="11" t="s">
        <v>171</v>
      </c>
      <c r="P18" s="14" t="s">
        <v>1</v>
      </c>
      <c r="Q18" s="16" t="s">
        <v>1</v>
      </c>
      <c r="R18" s="14" t="s">
        <v>1</v>
      </c>
      <c r="S18" s="11">
        <f t="shared" si="1"/>
        <v>1</v>
      </c>
      <c r="T18" s="11">
        <f t="shared" si="2"/>
        <v>0</v>
      </c>
      <c r="U18" s="11">
        <f t="shared" si="3"/>
        <v>0</v>
      </c>
      <c r="V18" s="11">
        <f t="shared" si="4"/>
        <v>0</v>
      </c>
    </row>
    <row r="19" ht="45" spans="1:22">
      <c r="A19" s="11">
        <v>5</v>
      </c>
      <c r="B19" s="11" t="s">
        <v>125</v>
      </c>
      <c r="C19" s="11" t="s">
        <v>159</v>
      </c>
      <c r="D19" s="11" t="s">
        <v>160</v>
      </c>
      <c r="E19" s="11" t="s">
        <v>161</v>
      </c>
      <c r="F19" s="11" t="s">
        <v>190</v>
      </c>
      <c r="G19" s="11" t="s">
        <v>191</v>
      </c>
      <c r="H19" s="11" t="s">
        <v>192</v>
      </c>
      <c r="I19" s="11" t="s">
        <v>187</v>
      </c>
      <c r="J19" s="14" t="s">
        <v>166</v>
      </c>
      <c r="K19" s="15" t="s">
        <v>167</v>
      </c>
      <c r="L19" s="11" t="s">
        <v>168</v>
      </c>
      <c r="M19" s="11" t="s">
        <v>193</v>
      </c>
      <c r="N19" s="11" t="s">
        <v>194</v>
      </c>
      <c r="O19" s="11" t="s">
        <v>171</v>
      </c>
      <c r="P19" s="14" t="s">
        <v>1</v>
      </c>
      <c r="Q19" s="16" t="s">
        <v>1</v>
      </c>
      <c r="R19" s="14" t="s">
        <v>1</v>
      </c>
      <c r="S19" s="11">
        <f t="shared" si="1"/>
        <v>1</v>
      </c>
      <c r="T19" s="11">
        <f t="shared" si="2"/>
        <v>0</v>
      </c>
      <c r="U19" s="11">
        <f t="shared" si="3"/>
        <v>0</v>
      </c>
      <c r="V19" s="11">
        <f t="shared" si="4"/>
        <v>0</v>
      </c>
    </row>
    <row r="20" ht="45" spans="1:22">
      <c r="A20" s="11">
        <v>6</v>
      </c>
      <c r="B20" s="11" t="s">
        <v>125</v>
      </c>
      <c r="C20" s="11" t="s">
        <v>159</v>
      </c>
      <c r="D20" s="11" t="s">
        <v>160</v>
      </c>
      <c r="E20" s="11" t="s">
        <v>160</v>
      </c>
      <c r="F20" s="11" t="s">
        <v>195</v>
      </c>
      <c r="G20" s="11" t="s">
        <v>196</v>
      </c>
      <c r="H20" s="11" t="s">
        <v>197</v>
      </c>
      <c r="I20" s="11" t="s">
        <v>198</v>
      </c>
      <c r="J20" s="14" t="s">
        <v>166</v>
      </c>
      <c r="K20" s="15" t="s">
        <v>167</v>
      </c>
      <c r="L20" s="11" t="s">
        <v>168</v>
      </c>
      <c r="M20" s="11" t="s">
        <v>199</v>
      </c>
      <c r="N20" s="11" t="s">
        <v>200</v>
      </c>
      <c r="O20" s="11" t="s">
        <v>171</v>
      </c>
      <c r="P20" s="14" t="s">
        <v>1</v>
      </c>
      <c r="Q20" s="16" t="s">
        <v>1</v>
      </c>
      <c r="R20" s="14" t="s">
        <v>1</v>
      </c>
      <c r="S20" s="11">
        <f t="shared" si="1"/>
        <v>1</v>
      </c>
      <c r="T20" s="11">
        <f t="shared" si="2"/>
        <v>0</v>
      </c>
      <c r="U20" s="11">
        <f t="shared" si="3"/>
        <v>0</v>
      </c>
      <c r="V20" s="11">
        <f t="shared" si="4"/>
        <v>0</v>
      </c>
    </row>
    <row r="21" ht="45" spans="1:22">
      <c r="A21" s="11">
        <v>7</v>
      </c>
      <c r="B21" s="11" t="s">
        <v>127</v>
      </c>
      <c r="C21" s="11" t="s">
        <v>63</v>
      </c>
      <c r="D21" s="11" t="s">
        <v>201</v>
      </c>
      <c r="E21" s="11" t="s">
        <v>202</v>
      </c>
      <c r="F21" s="11" t="s">
        <v>203</v>
      </c>
      <c r="G21" s="11" t="s">
        <v>204</v>
      </c>
      <c r="H21" s="11" t="s">
        <v>205</v>
      </c>
      <c r="I21" s="11" t="s">
        <v>206</v>
      </c>
      <c r="J21" s="14" t="s">
        <v>166</v>
      </c>
      <c r="K21" s="15" t="s">
        <v>167</v>
      </c>
      <c r="L21" s="11" t="s">
        <v>168</v>
      </c>
      <c r="M21" s="11" t="s">
        <v>207</v>
      </c>
      <c r="N21" s="11" t="s">
        <v>208</v>
      </c>
      <c r="O21" s="11" t="s">
        <v>209</v>
      </c>
      <c r="P21" s="14" t="s">
        <v>1</v>
      </c>
      <c r="Q21" s="16" t="s">
        <v>1</v>
      </c>
      <c r="R21" s="14" t="s">
        <v>1</v>
      </c>
      <c r="S21" s="11">
        <f t="shared" si="1"/>
        <v>1</v>
      </c>
      <c r="T21" s="11">
        <f t="shared" si="2"/>
        <v>0</v>
      </c>
      <c r="U21" s="11">
        <f t="shared" si="3"/>
        <v>0</v>
      </c>
      <c r="V21" s="11">
        <f t="shared" si="4"/>
        <v>0</v>
      </c>
    </row>
    <row r="22" ht="45" spans="1:22">
      <c r="A22" s="11">
        <v>8</v>
      </c>
      <c r="B22" s="11" t="s">
        <v>127</v>
      </c>
      <c r="C22" s="11" t="s">
        <v>63</v>
      </c>
      <c r="D22" s="11" t="s">
        <v>201</v>
      </c>
      <c r="E22" s="11" t="s">
        <v>202</v>
      </c>
      <c r="F22" s="11" t="s">
        <v>210</v>
      </c>
      <c r="G22" s="11" t="s">
        <v>211</v>
      </c>
      <c r="H22" s="11" t="s">
        <v>212</v>
      </c>
      <c r="I22" s="11" t="s">
        <v>213</v>
      </c>
      <c r="J22" s="14" t="s">
        <v>66</v>
      </c>
      <c r="K22" s="15" t="s">
        <v>167</v>
      </c>
      <c r="L22" s="11" t="s">
        <v>214</v>
      </c>
      <c r="M22" s="11" t="s">
        <v>215</v>
      </c>
      <c r="N22" s="11" t="s">
        <v>216</v>
      </c>
      <c r="O22" s="11" t="s">
        <v>209</v>
      </c>
      <c r="P22" s="14" t="s">
        <v>1</v>
      </c>
      <c r="Q22" s="16" t="s">
        <v>1</v>
      </c>
      <c r="R22" s="14" t="s">
        <v>1</v>
      </c>
      <c r="S22" s="11">
        <f t="shared" si="1"/>
        <v>0</v>
      </c>
      <c r="T22" s="11">
        <f t="shared" si="2"/>
        <v>1</v>
      </c>
      <c r="U22" s="11">
        <f t="shared" si="3"/>
        <v>0</v>
      </c>
      <c r="V22" s="11">
        <f t="shared" si="4"/>
        <v>0</v>
      </c>
    </row>
    <row r="23" ht="45" spans="1:22">
      <c r="A23" s="11">
        <v>9</v>
      </c>
      <c r="B23" s="11" t="s">
        <v>127</v>
      </c>
      <c r="C23" s="11" t="s">
        <v>63</v>
      </c>
      <c r="D23" s="11" t="s">
        <v>201</v>
      </c>
      <c r="E23" s="11" t="s">
        <v>202</v>
      </c>
      <c r="F23" s="11" t="s">
        <v>217</v>
      </c>
      <c r="G23" s="11" t="s">
        <v>218</v>
      </c>
      <c r="H23" s="11" t="s">
        <v>219</v>
      </c>
      <c r="I23" s="11" t="s">
        <v>220</v>
      </c>
      <c r="J23" s="14" t="s">
        <v>66</v>
      </c>
      <c r="K23" s="15" t="s">
        <v>167</v>
      </c>
      <c r="L23" s="11" t="s">
        <v>221</v>
      </c>
      <c r="M23" s="11" t="s">
        <v>222</v>
      </c>
      <c r="N23" s="11" t="s">
        <v>223</v>
      </c>
      <c r="O23" s="11" t="s">
        <v>209</v>
      </c>
      <c r="P23" s="14" t="s">
        <v>1</v>
      </c>
      <c r="Q23" s="16" t="s">
        <v>1</v>
      </c>
      <c r="R23" s="14" t="s">
        <v>1</v>
      </c>
      <c r="S23" s="11">
        <f t="shared" si="1"/>
        <v>0</v>
      </c>
      <c r="T23" s="11">
        <f t="shared" si="2"/>
        <v>1</v>
      </c>
      <c r="U23" s="11">
        <f t="shared" si="3"/>
        <v>0</v>
      </c>
      <c r="V23" s="11">
        <f t="shared" si="4"/>
        <v>0</v>
      </c>
    </row>
    <row r="24" ht="45" spans="1:22">
      <c r="A24" s="11">
        <v>10</v>
      </c>
      <c r="B24" s="11" t="s">
        <v>127</v>
      </c>
      <c r="C24" s="11" t="s">
        <v>63</v>
      </c>
      <c r="D24" s="11" t="s">
        <v>201</v>
      </c>
      <c r="E24" s="11" t="s">
        <v>202</v>
      </c>
      <c r="F24" s="11" t="s">
        <v>224</v>
      </c>
      <c r="G24" s="11" t="s">
        <v>225</v>
      </c>
      <c r="H24" s="11" t="s">
        <v>226</v>
      </c>
      <c r="I24" s="11" t="s">
        <v>227</v>
      </c>
      <c r="J24" s="14" t="s">
        <v>95</v>
      </c>
      <c r="K24" s="15" t="s">
        <v>167</v>
      </c>
      <c r="L24" s="11" t="s">
        <v>228</v>
      </c>
      <c r="M24" s="11" t="s">
        <v>229</v>
      </c>
      <c r="N24" s="11" t="s">
        <v>230</v>
      </c>
      <c r="O24" s="11" t="s">
        <v>209</v>
      </c>
      <c r="P24" s="14" t="s">
        <v>1</v>
      </c>
      <c r="Q24" s="16" t="s">
        <v>1</v>
      </c>
      <c r="R24" s="14" t="s">
        <v>1</v>
      </c>
      <c r="S24" s="11">
        <f t="shared" si="1"/>
        <v>0</v>
      </c>
      <c r="T24" s="11">
        <f t="shared" si="2"/>
        <v>0</v>
      </c>
      <c r="U24" s="11">
        <f t="shared" si="3"/>
        <v>1</v>
      </c>
      <c r="V24" s="11">
        <f t="shared" si="4"/>
        <v>0</v>
      </c>
    </row>
    <row r="25" ht="45" spans="1:22">
      <c r="A25" s="11">
        <v>11</v>
      </c>
      <c r="B25" s="11" t="s">
        <v>127</v>
      </c>
      <c r="C25" s="11" t="s">
        <v>63</v>
      </c>
      <c r="D25" s="11" t="s">
        <v>201</v>
      </c>
      <c r="E25" s="11" t="s">
        <v>202</v>
      </c>
      <c r="F25" s="11" t="s">
        <v>231</v>
      </c>
      <c r="G25" s="11" t="s">
        <v>232</v>
      </c>
      <c r="H25" s="11" t="s">
        <v>233</v>
      </c>
      <c r="I25" s="11" t="s">
        <v>234</v>
      </c>
      <c r="J25" s="14" t="s">
        <v>95</v>
      </c>
      <c r="K25" s="15" t="s">
        <v>167</v>
      </c>
      <c r="L25" s="11" t="s">
        <v>235</v>
      </c>
      <c r="M25" s="11" t="s">
        <v>236</v>
      </c>
      <c r="N25" s="11" t="s">
        <v>237</v>
      </c>
      <c r="O25" s="11" t="s">
        <v>209</v>
      </c>
      <c r="P25" s="14" t="s">
        <v>1</v>
      </c>
      <c r="Q25" s="16" t="s">
        <v>1</v>
      </c>
      <c r="R25" s="14" t="s">
        <v>1</v>
      </c>
      <c r="S25" s="11">
        <f t="shared" si="1"/>
        <v>0</v>
      </c>
      <c r="T25" s="11">
        <f t="shared" si="2"/>
        <v>0</v>
      </c>
      <c r="U25" s="11">
        <f t="shared" si="3"/>
        <v>1</v>
      </c>
      <c r="V25" s="11">
        <f t="shared" si="4"/>
        <v>0</v>
      </c>
    </row>
    <row r="26" ht="45" spans="1:22">
      <c r="A26" s="11">
        <v>12</v>
      </c>
      <c r="B26" s="11" t="s">
        <v>127</v>
      </c>
      <c r="C26" s="11" t="s">
        <v>63</v>
      </c>
      <c r="D26" s="11" t="s">
        <v>201</v>
      </c>
      <c r="E26" s="11" t="s">
        <v>202</v>
      </c>
      <c r="F26" s="11" t="s">
        <v>238</v>
      </c>
      <c r="G26" s="11" t="s">
        <v>239</v>
      </c>
      <c r="H26" s="11" t="s">
        <v>240</v>
      </c>
      <c r="I26" s="11" t="s">
        <v>241</v>
      </c>
      <c r="J26" s="14" t="s">
        <v>95</v>
      </c>
      <c r="K26" s="15" t="s">
        <v>242</v>
      </c>
      <c r="L26" s="11" t="s">
        <v>243</v>
      </c>
      <c r="M26" s="11" t="s">
        <v>244</v>
      </c>
      <c r="N26" s="11" t="s">
        <v>245</v>
      </c>
      <c r="O26" s="11" t="s">
        <v>209</v>
      </c>
      <c r="P26" s="14" t="s">
        <v>1</v>
      </c>
      <c r="Q26" s="16" t="s">
        <v>1</v>
      </c>
      <c r="R26" s="14" t="s">
        <v>1</v>
      </c>
      <c r="S26" s="11">
        <f t="shared" si="1"/>
        <v>0</v>
      </c>
      <c r="T26" s="11">
        <f t="shared" si="2"/>
        <v>0</v>
      </c>
      <c r="U26" s="11">
        <f t="shared" si="3"/>
        <v>1</v>
      </c>
      <c r="V26" s="11">
        <f t="shared" si="4"/>
        <v>0</v>
      </c>
    </row>
    <row r="27" ht="45" spans="1:22">
      <c r="A27" s="11">
        <v>13</v>
      </c>
      <c r="B27" s="11" t="s">
        <v>127</v>
      </c>
      <c r="C27" s="11" t="s">
        <v>63</v>
      </c>
      <c r="D27" s="11" t="s">
        <v>201</v>
      </c>
      <c r="E27" s="11" t="s">
        <v>202</v>
      </c>
      <c r="F27" s="11" t="s">
        <v>246</v>
      </c>
      <c r="G27" s="11" t="s">
        <v>247</v>
      </c>
      <c r="H27" s="11" t="s">
        <v>248</v>
      </c>
      <c r="I27" s="11" t="s">
        <v>249</v>
      </c>
      <c r="J27" s="14" t="s">
        <v>95</v>
      </c>
      <c r="K27" s="15" t="s">
        <v>167</v>
      </c>
      <c r="L27" s="11" t="s">
        <v>250</v>
      </c>
      <c r="M27" s="11" t="s">
        <v>251</v>
      </c>
      <c r="N27" s="11" t="s">
        <v>252</v>
      </c>
      <c r="O27" s="11" t="s">
        <v>209</v>
      </c>
      <c r="P27" s="14" t="s">
        <v>1</v>
      </c>
      <c r="Q27" s="16" t="s">
        <v>1</v>
      </c>
      <c r="R27" s="14" t="s">
        <v>1</v>
      </c>
      <c r="S27" s="11">
        <f t="shared" si="1"/>
        <v>0</v>
      </c>
      <c r="T27" s="11">
        <f t="shared" si="2"/>
        <v>0</v>
      </c>
      <c r="U27" s="11">
        <f t="shared" si="3"/>
        <v>1</v>
      </c>
      <c r="V27" s="11">
        <f t="shared" si="4"/>
        <v>0</v>
      </c>
    </row>
    <row r="28" ht="45" spans="1:22">
      <c r="A28" s="11">
        <v>14</v>
      </c>
      <c r="B28" s="11" t="s">
        <v>127</v>
      </c>
      <c r="C28" s="11" t="s">
        <v>63</v>
      </c>
      <c r="D28" s="11" t="s">
        <v>201</v>
      </c>
      <c r="E28" s="11" t="s">
        <v>202</v>
      </c>
      <c r="F28" s="11" t="s">
        <v>253</v>
      </c>
      <c r="G28" s="11" t="s">
        <v>254</v>
      </c>
      <c r="H28" s="11" t="s">
        <v>255</v>
      </c>
      <c r="I28" s="11" t="s">
        <v>256</v>
      </c>
      <c r="J28" s="14" t="s">
        <v>95</v>
      </c>
      <c r="K28" s="15" t="s">
        <v>242</v>
      </c>
      <c r="L28" s="11" t="s">
        <v>257</v>
      </c>
      <c r="M28" s="11" t="s">
        <v>258</v>
      </c>
      <c r="N28" s="11" t="s">
        <v>259</v>
      </c>
      <c r="O28" s="11" t="s">
        <v>209</v>
      </c>
      <c r="P28" s="14" t="s">
        <v>1</v>
      </c>
      <c r="Q28" s="16" t="s">
        <v>1</v>
      </c>
      <c r="R28" s="14" t="s">
        <v>1</v>
      </c>
      <c r="S28" s="11">
        <f t="shared" si="1"/>
        <v>0</v>
      </c>
      <c r="T28" s="11">
        <f t="shared" si="2"/>
        <v>0</v>
      </c>
      <c r="U28" s="11">
        <f t="shared" si="3"/>
        <v>1</v>
      </c>
      <c r="V28" s="11">
        <f t="shared" si="4"/>
        <v>0</v>
      </c>
    </row>
    <row r="29" ht="45" spans="1:22">
      <c r="A29" s="11">
        <v>15</v>
      </c>
      <c r="B29" s="11" t="s">
        <v>129</v>
      </c>
      <c r="C29" s="11" t="s">
        <v>71</v>
      </c>
      <c r="D29" s="11" t="s">
        <v>260</v>
      </c>
      <c r="E29" s="11" t="s">
        <v>261</v>
      </c>
      <c r="F29" s="11" t="s">
        <v>262</v>
      </c>
      <c r="G29" s="11" t="s">
        <v>263</v>
      </c>
      <c r="H29" s="11" t="s">
        <v>264</v>
      </c>
      <c r="I29" s="11" t="s">
        <v>265</v>
      </c>
      <c r="J29" s="14" t="s">
        <v>66</v>
      </c>
      <c r="K29" s="15" t="s">
        <v>167</v>
      </c>
      <c r="L29" s="11" t="s">
        <v>266</v>
      </c>
      <c r="M29" s="11" t="s">
        <v>267</v>
      </c>
      <c r="N29" s="11" t="s">
        <v>268</v>
      </c>
      <c r="O29" s="11" t="s">
        <v>269</v>
      </c>
      <c r="P29" s="14" t="s">
        <v>1</v>
      </c>
      <c r="Q29" s="16" t="s">
        <v>1</v>
      </c>
      <c r="R29" s="14" t="s">
        <v>1</v>
      </c>
      <c r="S29" s="11">
        <f t="shared" si="1"/>
        <v>0</v>
      </c>
      <c r="T29" s="11">
        <f t="shared" si="2"/>
        <v>1</v>
      </c>
      <c r="U29" s="11">
        <f t="shared" si="3"/>
        <v>0</v>
      </c>
      <c r="V29" s="11">
        <f t="shared" si="4"/>
        <v>0</v>
      </c>
    </row>
    <row r="30" ht="45" spans="1:22">
      <c r="A30" s="11">
        <v>16</v>
      </c>
      <c r="B30" s="11" t="s">
        <v>129</v>
      </c>
      <c r="C30" s="11" t="s">
        <v>71</v>
      </c>
      <c r="D30" s="11" t="s">
        <v>260</v>
      </c>
      <c r="E30" s="11" t="s">
        <v>261</v>
      </c>
      <c r="F30" s="11" t="s">
        <v>270</v>
      </c>
      <c r="G30" s="11" t="s">
        <v>271</v>
      </c>
      <c r="H30" s="11" t="s">
        <v>272</v>
      </c>
      <c r="I30" s="11" t="s">
        <v>273</v>
      </c>
      <c r="J30" s="14" t="s">
        <v>66</v>
      </c>
      <c r="K30" s="15" t="s">
        <v>167</v>
      </c>
      <c r="L30" s="11" t="s">
        <v>266</v>
      </c>
      <c r="M30" s="11" t="s">
        <v>274</v>
      </c>
      <c r="N30" s="11" t="s">
        <v>275</v>
      </c>
      <c r="O30" s="11" t="s">
        <v>269</v>
      </c>
      <c r="P30" s="14" t="s">
        <v>1</v>
      </c>
      <c r="Q30" s="16" t="s">
        <v>1</v>
      </c>
      <c r="R30" s="14" t="s">
        <v>1</v>
      </c>
      <c r="S30" s="11">
        <f t="shared" si="1"/>
        <v>0</v>
      </c>
      <c r="T30" s="11">
        <f t="shared" si="2"/>
        <v>1</v>
      </c>
      <c r="U30" s="11">
        <f t="shared" si="3"/>
        <v>0</v>
      </c>
      <c r="V30" s="11">
        <f t="shared" si="4"/>
        <v>0</v>
      </c>
    </row>
    <row r="31" ht="45" spans="1:22">
      <c r="A31" s="11">
        <v>17</v>
      </c>
      <c r="B31" s="11" t="s">
        <v>129</v>
      </c>
      <c r="C31" s="11" t="s">
        <v>71</v>
      </c>
      <c r="D31" s="11" t="s">
        <v>260</v>
      </c>
      <c r="E31" s="11" t="s">
        <v>261</v>
      </c>
      <c r="F31" s="11" t="s">
        <v>276</v>
      </c>
      <c r="G31" s="11" t="s">
        <v>277</v>
      </c>
      <c r="H31" s="11" t="s">
        <v>278</v>
      </c>
      <c r="I31" s="11" t="s">
        <v>279</v>
      </c>
      <c r="J31" s="14" t="s">
        <v>66</v>
      </c>
      <c r="K31" s="15" t="s">
        <v>167</v>
      </c>
      <c r="L31" s="11" t="s">
        <v>280</v>
      </c>
      <c r="M31" s="11" t="s">
        <v>281</v>
      </c>
      <c r="N31" s="11" t="s">
        <v>282</v>
      </c>
      <c r="O31" s="11" t="s">
        <v>269</v>
      </c>
      <c r="P31" s="14" t="s">
        <v>1</v>
      </c>
      <c r="Q31" s="16" t="s">
        <v>1</v>
      </c>
      <c r="R31" s="14" t="s">
        <v>1</v>
      </c>
      <c r="S31" s="11">
        <f t="shared" si="1"/>
        <v>0</v>
      </c>
      <c r="T31" s="11">
        <f t="shared" si="2"/>
        <v>1</v>
      </c>
      <c r="U31" s="11">
        <f t="shared" si="3"/>
        <v>0</v>
      </c>
      <c r="V31" s="11">
        <f t="shared" si="4"/>
        <v>0</v>
      </c>
    </row>
    <row r="32" ht="45" spans="1:22">
      <c r="A32" s="11">
        <v>18</v>
      </c>
      <c r="B32" s="11" t="s">
        <v>129</v>
      </c>
      <c r="C32" s="11" t="s">
        <v>71</v>
      </c>
      <c r="D32" s="11" t="s">
        <v>260</v>
      </c>
      <c r="E32" s="11" t="s">
        <v>261</v>
      </c>
      <c r="F32" s="11" t="s">
        <v>283</v>
      </c>
      <c r="G32" s="11" t="s">
        <v>284</v>
      </c>
      <c r="H32" s="11" t="s">
        <v>285</v>
      </c>
      <c r="I32" s="11" t="s">
        <v>286</v>
      </c>
      <c r="J32" s="14" t="s">
        <v>95</v>
      </c>
      <c r="K32" s="15" t="s">
        <v>167</v>
      </c>
      <c r="L32" s="11" t="s">
        <v>287</v>
      </c>
      <c r="M32" s="11" t="s">
        <v>288</v>
      </c>
      <c r="N32" s="11" t="s">
        <v>289</v>
      </c>
      <c r="O32" s="11" t="s">
        <v>269</v>
      </c>
      <c r="P32" s="14" t="s">
        <v>1</v>
      </c>
      <c r="Q32" s="16" t="s">
        <v>1</v>
      </c>
      <c r="R32" s="14" t="s">
        <v>1</v>
      </c>
      <c r="S32" s="11">
        <f t="shared" si="1"/>
        <v>0</v>
      </c>
      <c r="T32" s="11">
        <f t="shared" si="2"/>
        <v>0</v>
      </c>
      <c r="U32" s="11">
        <f t="shared" si="3"/>
        <v>1</v>
      </c>
      <c r="V32" s="11">
        <f t="shared" si="4"/>
        <v>0</v>
      </c>
    </row>
    <row r="33" ht="45" spans="1:22">
      <c r="A33" s="11">
        <v>19</v>
      </c>
      <c r="B33" s="11" t="s">
        <v>129</v>
      </c>
      <c r="C33" s="11" t="s">
        <v>71</v>
      </c>
      <c r="D33" s="11" t="s">
        <v>260</v>
      </c>
      <c r="E33" s="11" t="s">
        <v>261</v>
      </c>
      <c r="F33" s="11" t="s">
        <v>290</v>
      </c>
      <c r="G33" s="11" t="s">
        <v>291</v>
      </c>
      <c r="H33" s="11" t="s">
        <v>292</v>
      </c>
      <c r="I33" s="11" t="s">
        <v>293</v>
      </c>
      <c r="J33" s="14" t="s">
        <v>95</v>
      </c>
      <c r="K33" s="15" t="s">
        <v>167</v>
      </c>
      <c r="L33" s="11" t="s">
        <v>294</v>
      </c>
      <c r="M33" s="11" t="s">
        <v>295</v>
      </c>
      <c r="N33" s="11" t="s">
        <v>296</v>
      </c>
      <c r="O33" s="11" t="s">
        <v>269</v>
      </c>
      <c r="P33" s="14" t="s">
        <v>1</v>
      </c>
      <c r="Q33" s="16" t="s">
        <v>1</v>
      </c>
      <c r="R33" s="14" t="s">
        <v>1</v>
      </c>
      <c r="S33" s="11">
        <f t="shared" si="1"/>
        <v>0</v>
      </c>
      <c r="T33" s="11">
        <f t="shared" si="2"/>
        <v>0</v>
      </c>
      <c r="U33" s="11">
        <f t="shared" si="3"/>
        <v>1</v>
      </c>
      <c r="V33" s="11">
        <f t="shared" si="4"/>
        <v>0</v>
      </c>
    </row>
    <row r="34" ht="45" spans="1:22">
      <c r="A34" s="11">
        <v>20</v>
      </c>
      <c r="B34" s="11" t="s">
        <v>129</v>
      </c>
      <c r="C34" s="11" t="s">
        <v>71</v>
      </c>
      <c r="D34" s="11" t="s">
        <v>260</v>
      </c>
      <c r="E34" s="11" t="s">
        <v>261</v>
      </c>
      <c r="F34" s="11" t="s">
        <v>297</v>
      </c>
      <c r="G34" s="11" t="s">
        <v>298</v>
      </c>
      <c r="H34" s="11" t="s">
        <v>299</v>
      </c>
      <c r="I34" s="11" t="s">
        <v>300</v>
      </c>
      <c r="J34" s="14" t="s">
        <v>95</v>
      </c>
      <c r="K34" s="15" t="s">
        <v>167</v>
      </c>
      <c r="L34" s="11" t="s">
        <v>301</v>
      </c>
      <c r="M34" s="11" t="s">
        <v>302</v>
      </c>
      <c r="N34" s="11" t="s">
        <v>303</v>
      </c>
      <c r="O34" s="11" t="s">
        <v>269</v>
      </c>
      <c r="P34" s="14" t="s">
        <v>1</v>
      </c>
      <c r="Q34" s="16" t="s">
        <v>1</v>
      </c>
      <c r="R34" s="14" t="s">
        <v>1</v>
      </c>
      <c r="S34" s="11">
        <f t="shared" si="1"/>
        <v>0</v>
      </c>
      <c r="T34" s="11">
        <f t="shared" si="2"/>
        <v>0</v>
      </c>
      <c r="U34" s="11">
        <f t="shared" si="3"/>
        <v>1</v>
      </c>
      <c r="V34" s="11">
        <f t="shared" si="4"/>
        <v>0</v>
      </c>
    </row>
    <row r="35" ht="45" spans="1:22">
      <c r="A35" s="11">
        <v>21</v>
      </c>
      <c r="B35" s="11" t="s">
        <v>129</v>
      </c>
      <c r="C35" s="11" t="s">
        <v>71</v>
      </c>
      <c r="D35" s="11" t="s">
        <v>260</v>
      </c>
      <c r="E35" s="11" t="s">
        <v>261</v>
      </c>
      <c r="F35" s="11" t="s">
        <v>304</v>
      </c>
      <c r="G35" s="11" t="s">
        <v>305</v>
      </c>
      <c r="H35" s="11" t="s">
        <v>306</v>
      </c>
      <c r="I35" s="11" t="s">
        <v>307</v>
      </c>
      <c r="J35" s="14" t="s">
        <v>95</v>
      </c>
      <c r="K35" s="15" t="s">
        <v>242</v>
      </c>
      <c r="L35" s="11" t="s">
        <v>308</v>
      </c>
      <c r="M35" s="11" t="s">
        <v>309</v>
      </c>
      <c r="N35" s="11" t="s">
        <v>310</v>
      </c>
      <c r="O35" s="11" t="s">
        <v>269</v>
      </c>
      <c r="P35" s="14" t="s">
        <v>1</v>
      </c>
      <c r="Q35" s="16" t="s">
        <v>1</v>
      </c>
      <c r="R35" s="14" t="s">
        <v>1</v>
      </c>
      <c r="S35" s="11">
        <f t="shared" si="1"/>
        <v>0</v>
      </c>
      <c r="T35" s="11">
        <f t="shared" si="2"/>
        <v>0</v>
      </c>
      <c r="U35" s="11">
        <f t="shared" si="3"/>
        <v>1</v>
      </c>
      <c r="V35" s="11">
        <f t="shared" si="4"/>
        <v>0</v>
      </c>
    </row>
    <row r="36" ht="45" spans="1:22">
      <c r="A36" s="11">
        <v>22</v>
      </c>
      <c r="B36" s="11" t="s">
        <v>129</v>
      </c>
      <c r="C36" s="11" t="s">
        <v>71</v>
      </c>
      <c r="D36" s="11" t="s">
        <v>260</v>
      </c>
      <c r="E36" s="11" t="s">
        <v>261</v>
      </c>
      <c r="F36" s="11" t="s">
        <v>311</v>
      </c>
      <c r="G36" s="11" t="s">
        <v>312</v>
      </c>
      <c r="H36" s="11" t="s">
        <v>313</v>
      </c>
      <c r="I36" s="11" t="s">
        <v>314</v>
      </c>
      <c r="J36" s="14" t="s">
        <v>66</v>
      </c>
      <c r="K36" s="15" t="s">
        <v>167</v>
      </c>
      <c r="L36" s="11" t="s">
        <v>315</v>
      </c>
      <c r="M36" s="11" t="s">
        <v>316</v>
      </c>
      <c r="N36" s="11" t="s">
        <v>317</v>
      </c>
      <c r="O36" s="11" t="s">
        <v>269</v>
      </c>
      <c r="P36" s="14" t="s">
        <v>1</v>
      </c>
      <c r="Q36" s="16" t="s">
        <v>1</v>
      </c>
      <c r="R36" s="14" t="s">
        <v>1</v>
      </c>
      <c r="S36" s="11">
        <f t="shared" si="1"/>
        <v>0</v>
      </c>
      <c r="T36" s="11">
        <f t="shared" si="2"/>
        <v>1</v>
      </c>
      <c r="U36" s="11">
        <f t="shared" si="3"/>
        <v>0</v>
      </c>
      <c r="V36" s="11">
        <f t="shared" si="4"/>
        <v>0</v>
      </c>
    </row>
    <row r="37" ht="30" spans="1:22">
      <c r="A37" s="11">
        <v>23</v>
      </c>
      <c r="B37" s="11" t="s">
        <v>132</v>
      </c>
      <c r="C37" s="11" t="s">
        <v>78</v>
      </c>
      <c r="D37" s="11" t="s">
        <v>318</v>
      </c>
      <c r="E37" s="11" t="s">
        <v>319</v>
      </c>
      <c r="F37" s="11" t="s">
        <v>320</v>
      </c>
      <c r="G37" s="11" t="s">
        <v>321</v>
      </c>
      <c r="H37" s="11" t="s">
        <v>322</v>
      </c>
      <c r="I37" s="11" t="s">
        <v>323</v>
      </c>
      <c r="J37" s="14" t="s">
        <v>66</v>
      </c>
      <c r="K37" s="15" t="s">
        <v>167</v>
      </c>
      <c r="L37" s="11" t="s">
        <v>324</v>
      </c>
      <c r="M37" s="11" t="s">
        <v>325</v>
      </c>
      <c r="N37" s="11" t="s">
        <v>326</v>
      </c>
      <c r="O37" s="11" t="s">
        <v>327</v>
      </c>
      <c r="P37" s="14" t="s">
        <v>1</v>
      </c>
      <c r="Q37" s="16" t="s">
        <v>1</v>
      </c>
      <c r="R37" s="14" t="s">
        <v>1</v>
      </c>
      <c r="S37" s="11">
        <f t="shared" si="1"/>
        <v>0</v>
      </c>
      <c r="T37" s="11">
        <f t="shared" si="2"/>
        <v>1</v>
      </c>
      <c r="U37" s="11">
        <f t="shared" si="3"/>
        <v>0</v>
      </c>
      <c r="V37" s="11">
        <f t="shared" si="4"/>
        <v>0</v>
      </c>
    </row>
    <row r="38" ht="30" spans="1:22">
      <c r="A38" s="11">
        <v>24</v>
      </c>
      <c r="B38" s="11" t="s">
        <v>132</v>
      </c>
      <c r="C38" s="11" t="s">
        <v>78</v>
      </c>
      <c r="D38" s="11" t="s">
        <v>318</v>
      </c>
      <c r="E38" s="11" t="s">
        <v>319</v>
      </c>
      <c r="F38" s="11" t="s">
        <v>328</v>
      </c>
      <c r="G38" s="11" t="s">
        <v>329</v>
      </c>
      <c r="H38" s="11" t="s">
        <v>330</v>
      </c>
      <c r="I38" s="11" t="s">
        <v>331</v>
      </c>
      <c r="J38" s="14" t="s">
        <v>66</v>
      </c>
      <c r="K38" s="15" t="s">
        <v>167</v>
      </c>
      <c r="L38" s="11" t="s">
        <v>324</v>
      </c>
      <c r="M38" s="11" t="s">
        <v>332</v>
      </c>
      <c r="N38" s="11" t="s">
        <v>333</v>
      </c>
      <c r="O38" s="11" t="s">
        <v>327</v>
      </c>
      <c r="P38" s="14" t="s">
        <v>1</v>
      </c>
      <c r="Q38" s="16" t="s">
        <v>1</v>
      </c>
      <c r="R38" s="14" t="s">
        <v>1</v>
      </c>
      <c r="S38" s="11">
        <f t="shared" si="1"/>
        <v>0</v>
      </c>
      <c r="T38" s="11">
        <f t="shared" si="2"/>
        <v>1</v>
      </c>
      <c r="U38" s="11">
        <f t="shared" si="3"/>
        <v>0</v>
      </c>
      <c r="V38" s="11">
        <f t="shared" si="4"/>
        <v>0</v>
      </c>
    </row>
    <row r="39" ht="45" spans="1:22">
      <c r="A39" s="11">
        <v>25</v>
      </c>
      <c r="B39" s="11" t="s">
        <v>132</v>
      </c>
      <c r="C39" s="11" t="s">
        <v>78</v>
      </c>
      <c r="D39" s="11" t="s">
        <v>318</v>
      </c>
      <c r="E39" s="11" t="s">
        <v>319</v>
      </c>
      <c r="F39" s="11" t="s">
        <v>334</v>
      </c>
      <c r="G39" s="11" t="s">
        <v>335</v>
      </c>
      <c r="H39" s="11" t="s">
        <v>336</v>
      </c>
      <c r="I39" s="11" t="s">
        <v>337</v>
      </c>
      <c r="J39" s="14" t="s">
        <v>95</v>
      </c>
      <c r="K39" s="15" t="s">
        <v>167</v>
      </c>
      <c r="L39" s="11" t="s">
        <v>338</v>
      </c>
      <c r="M39" s="11" t="s">
        <v>339</v>
      </c>
      <c r="N39" s="11" t="s">
        <v>340</v>
      </c>
      <c r="O39" s="11" t="s">
        <v>327</v>
      </c>
      <c r="P39" s="14" t="s">
        <v>1</v>
      </c>
      <c r="Q39" s="16" t="s">
        <v>1</v>
      </c>
      <c r="R39" s="14" t="s">
        <v>1</v>
      </c>
      <c r="S39" s="11">
        <f t="shared" si="1"/>
        <v>0</v>
      </c>
      <c r="T39" s="11">
        <f t="shared" si="2"/>
        <v>0</v>
      </c>
      <c r="U39" s="11">
        <f t="shared" si="3"/>
        <v>1</v>
      </c>
      <c r="V39" s="11">
        <f t="shared" si="4"/>
        <v>0</v>
      </c>
    </row>
    <row r="40" ht="30" spans="1:22">
      <c r="A40" s="11">
        <v>26</v>
      </c>
      <c r="B40" s="11" t="s">
        <v>132</v>
      </c>
      <c r="C40" s="11" t="s">
        <v>78</v>
      </c>
      <c r="D40" s="11" t="s">
        <v>318</v>
      </c>
      <c r="E40" s="11" t="s">
        <v>319</v>
      </c>
      <c r="F40" s="11" t="s">
        <v>341</v>
      </c>
      <c r="G40" s="11" t="s">
        <v>342</v>
      </c>
      <c r="H40" s="11" t="s">
        <v>343</v>
      </c>
      <c r="I40" s="11" t="s">
        <v>344</v>
      </c>
      <c r="J40" s="14" t="s">
        <v>95</v>
      </c>
      <c r="K40" s="15" t="s">
        <v>167</v>
      </c>
      <c r="L40" s="11" t="s">
        <v>345</v>
      </c>
      <c r="M40" s="11" t="s">
        <v>346</v>
      </c>
      <c r="N40" s="11" t="s">
        <v>347</v>
      </c>
      <c r="O40" s="11" t="s">
        <v>327</v>
      </c>
      <c r="P40" s="14" t="s">
        <v>1</v>
      </c>
      <c r="Q40" s="16" t="s">
        <v>1</v>
      </c>
      <c r="R40" s="14" t="s">
        <v>1</v>
      </c>
      <c r="S40" s="11">
        <f t="shared" si="1"/>
        <v>0</v>
      </c>
      <c r="T40" s="11">
        <f t="shared" si="2"/>
        <v>0</v>
      </c>
      <c r="U40" s="11">
        <f t="shared" si="3"/>
        <v>1</v>
      </c>
      <c r="V40" s="11">
        <f t="shared" si="4"/>
        <v>0</v>
      </c>
    </row>
    <row r="41" ht="45" spans="1:22">
      <c r="A41" s="11">
        <v>27</v>
      </c>
      <c r="B41" s="11" t="s">
        <v>132</v>
      </c>
      <c r="C41" s="11" t="s">
        <v>78</v>
      </c>
      <c r="D41" s="11" t="s">
        <v>318</v>
      </c>
      <c r="E41" s="11" t="s">
        <v>319</v>
      </c>
      <c r="F41" s="11" t="s">
        <v>348</v>
      </c>
      <c r="G41" s="11" t="s">
        <v>349</v>
      </c>
      <c r="H41" s="11" t="s">
        <v>350</v>
      </c>
      <c r="I41" s="11" t="s">
        <v>351</v>
      </c>
      <c r="J41" s="14" t="s">
        <v>95</v>
      </c>
      <c r="K41" s="15" t="s">
        <v>167</v>
      </c>
      <c r="L41" s="11" t="s">
        <v>352</v>
      </c>
      <c r="M41" s="11" t="s">
        <v>353</v>
      </c>
      <c r="N41" s="11" t="s">
        <v>354</v>
      </c>
      <c r="O41" s="11" t="s">
        <v>327</v>
      </c>
      <c r="P41" s="14" t="s">
        <v>1</v>
      </c>
      <c r="Q41" s="16" t="s">
        <v>1</v>
      </c>
      <c r="R41" s="14" t="s">
        <v>1</v>
      </c>
      <c r="S41" s="11">
        <f t="shared" si="1"/>
        <v>0</v>
      </c>
      <c r="T41" s="11">
        <f t="shared" si="2"/>
        <v>0</v>
      </c>
      <c r="U41" s="11">
        <f t="shared" si="3"/>
        <v>1</v>
      </c>
      <c r="V41" s="11">
        <f t="shared" si="4"/>
        <v>0</v>
      </c>
    </row>
    <row r="42" ht="45" spans="1:22">
      <c r="A42" s="11">
        <v>28</v>
      </c>
      <c r="B42" s="11" t="s">
        <v>132</v>
      </c>
      <c r="C42" s="11" t="s">
        <v>78</v>
      </c>
      <c r="D42" s="11" t="s">
        <v>318</v>
      </c>
      <c r="E42" s="11" t="s">
        <v>319</v>
      </c>
      <c r="F42" s="11" t="s">
        <v>355</v>
      </c>
      <c r="G42" s="11" t="s">
        <v>356</v>
      </c>
      <c r="H42" s="11" t="s">
        <v>357</v>
      </c>
      <c r="I42" s="11" t="s">
        <v>358</v>
      </c>
      <c r="J42" s="14" t="s">
        <v>95</v>
      </c>
      <c r="K42" s="15" t="s">
        <v>167</v>
      </c>
      <c r="L42" s="11" t="s">
        <v>359</v>
      </c>
      <c r="M42" s="11" t="s">
        <v>360</v>
      </c>
      <c r="N42" s="11" t="s">
        <v>84</v>
      </c>
      <c r="O42" s="11" t="s">
        <v>327</v>
      </c>
      <c r="P42" s="14" t="s">
        <v>1</v>
      </c>
      <c r="Q42" s="16" t="s">
        <v>1</v>
      </c>
      <c r="R42" s="14" t="s">
        <v>1</v>
      </c>
      <c r="S42" s="11">
        <f t="shared" si="1"/>
        <v>0</v>
      </c>
      <c r="T42" s="11">
        <f t="shared" si="2"/>
        <v>0</v>
      </c>
      <c r="U42" s="11">
        <f t="shared" si="3"/>
        <v>1</v>
      </c>
      <c r="V42" s="11">
        <f t="shared" si="4"/>
        <v>0</v>
      </c>
    </row>
    <row r="43" ht="45" spans="1:22">
      <c r="A43" s="11">
        <v>29</v>
      </c>
      <c r="B43" s="11" t="s">
        <v>133</v>
      </c>
      <c r="C43" s="11" t="s">
        <v>85</v>
      </c>
      <c r="D43" s="11" t="s">
        <v>361</v>
      </c>
      <c r="E43" s="11" t="s">
        <v>362</v>
      </c>
      <c r="F43" s="11" t="s">
        <v>363</v>
      </c>
      <c r="G43" s="11" t="s">
        <v>364</v>
      </c>
      <c r="H43" s="11" t="s">
        <v>365</v>
      </c>
      <c r="I43" s="11" t="s">
        <v>366</v>
      </c>
      <c r="J43" s="14" t="s">
        <v>66</v>
      </c>
      <c r="K43" s="15" t="s">
        <v>167</v>
      </c>
      <c r="L43" s="11" t="s">
        <v>367</v>
      </c>
      <c r="M43" s="11" t="s">
        <v>368</v>
      </c>
      <c r="N43" s="11" t="s">
        <v>369</v>
      </c>
      <c r="O43" s="11" t="s">
        <v>370</v>
      </c>
      <c r="P43" s="14" t="s">
        <v>1</v>
      </c>
      <c r="Q43" s="16" t="s">
        <v>1</v>
      </c>
      <c r="R43" s="14" t="s">
        <v>1</v>
      </c>
      <c r="S43" s="11">
        <f t="shared" si="1"/>
        <v>0</v>
      </c>
      <c r="T43" s="11">
        <f t="shared" si="2"/>
        <v>1</v>
      </c>
      <c r="U43" s="11">
        <f t="shared" si="3"/>
        <v>0</v>
      </c>
      <c r="V43" s="11">
        <f t="shared" si="4"/>
        <v>0</v>
      </c>
    </row>
    <row r="44" ht="45" spans="1:22">
      <c r="A44" s="11">
        <v>30</v>
      </c>
      <c r="B44" s="11" t="s">
        <v>133</v>
      </c>
      <c r="C44" s="11" t="s">
        <v>85</v>
      </c>
      <c r="D44" s="11" t="s">
        <v>361</v>
      </c>
      <c r="E44" s="11" t="s">
        <v>362</v>
      </c>
      <c r="F44" s="11" t="s">
        <v>371</v>
      </c>
      <c r="G44" s="11" t="s">
        <v>372</v>
      </c>
      <c r="H44" s="11" t="s">
        <v>373</v>
      </c>
      <c r="I44" s="11" t="s">
        <v>374</v>
      </c>
      <c r="J44" s="14" t="s">
        <v>66</v>
      </c>
      <c r="K44" s="15" t="s">
        <v>167</v>
      </c>
      <c r="L44" s="11" t="s">
        <v>375</v>
      </c>
      <c r="M44" s="11" t="s">
        <v>376</v>
      </c>
      <c r="N44" s="11" t="s">
        <v>377</v>
      </c>
      <c r="O44" s="11" t="s">
        <v>370</v>
      </c>
      <c r="P44" s="14" t="s">
        <v>1</v>
      </c>
      <c r="Q44" s="16" t="s">
        <v>1</v>
      </c>
      <c r="R44" s="14" t="s">
        <v>1</v>
      </c>
      <c r="S44" s="11">
        <f t="shared" si="1"/>
        <v>0</v>
      </c>
      <c r="T44" s="11">
        <f t="shared" si="2"/>
        <v>1</v>
      </c>
      <c r="U44" s="11">
        <f t="shared" si="3"/>
        <v>0</v>
      </c>
      <c r="V44" s="11">
        <f t="shared" si="4"/>
        <v>0</v>
      </c>
    </row>
    <row r="45" ht="45" spans="1:22">
      <c r="A45" s="11">
        <v>31</v>
      </c>
      <c r="B45" s="11" t="s">
        <v>133</v>
      </c>
      <c r="C45" s="11" t="s">
        <v>85</v>
      </c>
      <c r="D45" s="11" t="s">
        <v>361</v>
      </c>
      <c r="E45" s="11" t="s">
        <v>362</v>
      </c>
      <c r="F45" s="11" t="s">
        <v>378</v>
      </c>
      <c r="G45" s="11" t="s">
        <v>379</v>
      </c>
      <c r="H45" s="11" t="s">
        <v>380</v>
      </c>
      <c r="I45" s="11" t="s">
        <v>381</v>
      </c>
      <c r="J45" s="14" t="s">
        <v>95</v>
      </c>
      <c r="K45" s="15" t="s">
        <v>167</v>
      </c>
      <c r="L45" s="11" t="s">
        <v>382</v>
      </c>
      <c r="M45" s="11" t="s">
        <v>383</v>
      </c>
      <c r="N45" s="11" t="s">
        <v>384</v>
      </c>
      <c r="O45" s="11" t="s">
        <v>370</v>
      </c>
      <c r="P45" s="14" t="s">
        <v>1</v>
      </c>
      <c r="Q45" s="16" t="s">
        <v>1</v>
      </c>
      <c r="R45" s="14" t="s">
        <v>1</v>
      </c>
      <c r="S45" s="11">
        <f t="shared" si="1"/>
        <v>0</v>
      </c>
      <c r="T45" s="11">
        <f t="shared" si="2"/>
        <v>0</v>
      </c>
      <c r="U45" s="11">
        <f t="shared" si="3"/>
        <v>1</v>
      </c>
      <c r="V45" s="11">
        <f t="shared" si="4"/>
        <v>0</v>
      </c>
    </row>
    <row r="46" ht="45" spans="1:22">
      <c r="A46" s="11">
        <v>32</v>
      </c>
      <c r="B46" s="11" t="s">
        <v>133</v>
      </c>
      <c r="C46" s="11" t="s">
        <v>85</v>
      </c>
      <c r="D46" s="11" t="s">
        <v>361</v>
      </c>
      <c r="E46" s="11" t="s">
        <v>362</v>
      </c>
      <c r="F46" s="11" t="s">
        <v>385</v>
      </c>
      <c r="G46" s="11" t="s">
        <v>386</v>
      </c>
      <c r="H46" s="11" t="s">
        <v>387</v>
      </c>
      <c r="I46" s="11" t="s">
        <v>388</v>
      </c>
      <c r="J46" s="14" t="s">
        <v>95</v>
      </c>
      <c r="K46" s="15" t="s">
        <v>167</v>
      </c>
      <c r="L46" s="11" t="s">
        <v>389</v>
      </c>
      <c r="M46" s="11" t="s">
        <v>390</v>
      </c>
      <c r="N46" s="11" t="s">
        <v>391</v>
      </c>
      <c r="O46" s="11" t="s">
        <v>370</v>
      </c>
      <c r="P46" s="14" t="s">
        <v>1</v>
      </c>
      <c r="Q46" s="16" t="s">
        <v>1</v>
      </c>
      <c r="R46" s="14" t="s">
        <v>1</v>
      </c>
      <c r="S46" s="11">
        <f t="shared" si="1"/>
        <v>0</v>
      </c>
      <c r="T46" s="11">
        <f t="shared" si="2"/>
        <v>0</v>
      </c>
      <c r="U46" s="11">
        <f t="shared" si="3"/>
        <v>1</v>
      </c>
      <c r="V46" s="11">
        <f t="shared" si="4"/>
        <v>0</v>
      </c>
    </row>
    <row r="47" ht="45" spans="1:22">
      <c r="A47" s="11">
        <v>33</v>
      </c>
      <c r="B47" s="11" t="s">
        <v>133</v>
      </c>
      <c r="C47" s="11" t="s">
        <v>85</v>
      </c>
      <c r="D47" s="11" t="s">
        <v>361</v>
      </c>
      <c r="E47" s="11" t="s">
        <v>362</v>
      </c>
      <c r="F47" s="11" t="s">
        <v>392</v>
      </c>
      <c r="G47" s="11" t="s">
        <v>393</v>
      </c>
      <c r="H47" s="11" t="s">
        <v>394</v>
      </c>
      <c r="I47" s="11" t="s">
        <v>395</v>
      </c>
      <c r="J47" s="14" t="s">
        <v>95</v>
      </c>
      <c r="K47" s="15" t="s">
        <v>396</v>
      </c>
      <c r="L47" s="11" t="s">
        <v>397</v>
      </c>
      <c r="M47" s="11" t="s">
        <v>398</v>
      </c>
      <c r="N47" s="11" t="s">
        <v>399</v>
      </c>
      <c r="O47" s="11" t="s">
        <v>370</v>
      </c>
      <c r="P47" s="14" t="s">
        <v>1</v>
      </c>
      <c r="Q47" s="16" t="s">
        <v>1</v>
      </c>
      <c r="R47" s="14" t="s">
        <v>1</v>
      </c>
      <c r="S47" s="11">
        <f t="shared" si="1"/>
        <v>0</v>
      </c>
      <c r="T47" s="11">
        <f t="shared" si="2"/>
        <v>0</v>
      </c>
      <c r="U47" s="11">
        <f t="shared" si="3"/>
        <v>1</v>
      </c>
      <c r="V47" s="11">
        <f t="shared" si="4"/>
        <v>0</v>
      </c>
    </row>
    <row r="48" ht="45" spans="1:22">
      <c r="A48" s="11">
        <v>34</v>
      </c>
      <c r="B48" s="11" t="s">
        <v>133</v>
      </c>
      <c r="C48" s="11" t="s">
        <v>85</v>
      </c>
      <c r="D48" s="11" t="s">
        <v>361</v>
      </c>
      <c r="E48" s="11" t="s">
        <v>362</v>
      </c>
      <c r="F48" s="11" t="s">
        <v>400</v>
      </c>
      <c r="G48" s="11" t="s">
        <v>401</v>
      </c>
      <c r="H48" s="11" t="s">
        <v>402</v>
      </c>
      <c r="I48" s="11" t="s">
        <v>403</v>
      </c>
      <c r="J48" s="14" t="s">
        <v>95</v>
      </c>
      <c r="K48" s="15" t="s">
        <v>396</v>
      </c>
      <c r="L48" s="11" t="s">
        <v>397</v>
      </c>
      <c r="M48" s="11" t="s">
        <v>404</v>
      </c>
      <c r="N48" s="11" t="s">
        <v>405</v>
      </c>
      <c r="O48" s="11" t="s">
        <v>370</v>
      </c>
      <c r="P48" s="14" t="s">
        <v>1</v>
      </c>
      <c r="Q48" s="16" t="s">
        <v>1</v>
      </c>
      <c r="R48" s="14" t="s">
        <v>1</v>
      </c>
      <c r="S48" s="11">
        <f t="shared" si="1"/>
        <v>0</v>
      </c>
      <c r="T48" s="11">
        <f t="shared" si="2"/>
        <v>0</v>
      </c>
      <c r="U48" s="11">
        <f t="shared" si="3"/>
        <v>1</v>
      </c>
      <c r="V48" s="11">
        <f t="shared" si="4"/>
        <v>0</v>
      </c>
    </row>
    <row r="49" ht="45" spans="1:22">
      <c r="A49" s="11">
        <v>35</v>
      </c>
      <c r="B49" s="11" t="s">
        <v>133</v>
      </c>
      <c r="C49" s="11" t="s">
        <v>85</v>
      </c>
      <c r="D49" s="11" t="s">
        <v>361</v>
      </c>
      <c r="E49" s="11" t="s">
        <v>362</v>
      </c>
      <c r="F49" s="11" t="s">
        <v>406</v>
      </c>
      <c r="G49" s="11" t="s">
        <v>407</v>
      </c>
      <c r="H49" s="11" t="s">
        <v>408</v>
      </c>
      <c r="I49" s="11" t="s">
        <v>409</v>
      </c>
      <c r="J49" s="14" t="s">
        <v>95</v>
      </c>
      <c r="K49" s="15" t="s">
        <v>396</v>
      </c>
      <c r="L49" s="11" t="s">
        <v>397</v>
      </c>
      <c r="M49" s="11" t="s">
        <v>410</v>
      </c>
      <c r="N49" s="11" t="s">
        <v>411</v>
      </c>
      <c r="O49" s="11" t="s">
        <v>370</v>
      </c>
      <c r="P49" s="14" t="s">
        <v>1</v>
      </c>
      <c r="Q49" s="16" t="s">
        <v>1</v>
      </c>
      <c r="R49" s="14" t="s">
        <v>1</v>
      </c>
      <c r="S49" s="11">
        <f t="shared" si="1"/>
        <v>0</v>
      </c>
      <c r="T49" s="11">
        <f t="shared" si="2"/>
        <v>0</v>
      </c>
      <c r="U49" s="11">
        <f t="shared" si="3"/>
        <v>1</v>
      </c>
      <c r="V49" s="11">
        <f t="shared" si="4"/>
        <v>0</v>
      </c>
    </row>
    <row r="50" ht="45" spans="1:22">
      <c r="A50" s="11">
        <v>36</v>
      </c>
      <c r="B50" s="11" t="s">
        <v>133</v>
      </c>
      <c r="C50" s="11" t="s">
        <v>85</v>
      </c>
      <c r="D50" s="11" t="s">
        <v>361</v>
      </c>
      <c r="E50" s="11" t="s">
        <v>362</v>
      </c>
      <c r="F50" s="11" t="s">
        <v>412</v>
      </c>
      <c r="G50" s="11" t="s">
        <v>413</v>
      </c>
      <c r="H50" s="11" t="s">
        <v>414</v>
      </c>
      <c r="I50" s="11" t="s">
        <v>415</v>
      </c>
      <c r="J50" s="14" t="s">
        <v>95</v>
      </c>
      <c r="K50" s="15" t="s">
        <v>167</v>
      </c>
      <c r="L50" s="11" t="s">
        <v>416</v>
      </c>
      <c r="M50" s="11" t="s">
        <v>417</v>
      </c>
      <c r="N50" s="11" t="s">
        <v>418</v>
      </c>
      <c r="O50" s="11" t="s">
        <v>370</v>
      </c>
      <c r="P50" s="14" t="s">
        <v>1</v>
      </c>
      <c r="Q50" s="16" t="s">
        <v>1</v>
      </c>
      <c r="R50" s="14" t="s">
        <v>1</v>
      </c>
      <c r="S50" s="11">
        <f t="shared" si="1"/>
        <v>0</v>
      </c>
      <c r="T50" s="11">
        <f t="shared" si="2"/>
        <v>0</v>
      </c>
      <c r="U50" s="11">
        <f t="shared" si="3"/>
        <v>1</v>
      </c>
      <c r="V50" s="11">
        <f t="shared" si="4"/>
        <v>0</v>
      </c>
    </row>
    <row r="51" ht="45" spans="1:22">
      <c r="A51" s="11">
        <v>37</v>
      </c>
      <c r="B51" s="11" t="s">
        <v>133</v>
      </c>
      <c r="C51" s="11" t="s">
        <v>85</v>
      </c>
      <c r="D51" s="11" t="s">
        <v>361</v>
      </c>
      <c r="E51" s="11" t="s">
        <v>362</v>
      </c>
      <c r="F51" s="11" t="s">
        <v>419</v>
      </c>
      <c r="G51" s="11" t="s">
        <v>420</v>
      </c>
      <c r="H51" s="11" t="s">
        <v>421</v>
      </c>
      <c r="I51" s="11" t="s">
        <v>422</v>
      </c>
      <c r="J51" s="14" t="s">
        <v>95</v>
      </c>
      <c r="K51" s="15" t="s">
        <v>167</v>
      </c>
      <c r="L51" s="11" t="s">
        <v>423</v>
      </c>
      <c r="M51" s="11" t="s">
        <v>424</v>
      </c>
      <c r="N51" s="11" t="s">
        <v>425</v>
      </c>
      <c r="O51" s="11" t="s">
        <v>370</v>
      </c>
      <c r="P51" s="14" t="s">
        <v>1</v>
      </c>
      <c r="Q51" s="16" t="s">
        <v>1</v>
      </c>
      <c r="R51" s="14" t="s">
        <v>1</v>
      </c>
      <c r="S51" s="11">
        <f t="shared" si="1"/>
        <v>0</v>
      </c>
      <c r="T51" s="11">
        <f t="shared" si="2"/>
        <v>0</v>
      </c>
      <c r="U51" s="11">
        <f t="shared" si="3"/>
        <v>1</v>
      </c>
      <c r="V51" s="11">
        <f t="shared" si="4"/>
        <v>0</v>
      </c>
    </row>
    <row r="52" ht="45" spans="1:22">
      <c r="A52" s="11">
        <v>38</v>
      </c>
      <c r="B52" s="11" t="s">
        <v>133</v>
      </c>
      <c r="C52" s="11" t="s">
        <v>85</v>
      </c>
      <c r="D52" s="11" t="s">
        <v>361</v>
      </c>
      <c r="E52" s="11" t="s">
        <v>362</v>
      </c>
      <c r="F52" s="11" t="s">
        <v>426</v>
      </c>
      <c r="G52" s="11" t="s">
        <v>427</v>
      </c>
      <c r="H52" s="11" t="s">
        <v>428</v>
      </c>
      <c r="I52" s="11" t="s">
        <v>429</v>
      </c>
      <c r="J52" s="14" t="s">
        <v>95</v>
      </c>
      <c r="K52" s="15" t="s">
        <v>396</v>
      </c>
      <c r="L52" s="11" t="s">
        <v>430</v>
      </c>
      <c r="M52" s="11" t="s">
        <v>431</v>
      </c>
      <c r="N52" s="11" t="s">
        <v>432</v>
      </c>
      <c r="O52" s="11" t="s">
        <v>370</v>
      </c>
      <c r="P52" s="14" t="s">
        <v>1</v>
      </c>
      <c r="Q52" s="16" t="s">
        <v>1</v>
      </c>
      <c r="R52" s="14" t="s">
        <v>1</v>
      </c>
      <c r="S52" s="11">
        <f t="shared" si="1"/>
        <v>0</v>
      </c>
      <c r="T52" s="11">
        <f t="shared" si="2"/>
        <v>0</v>
      </c>
      <c r="U52" s="11">
        <f t="shared" si="3"/>
        <v>1</v>
      </c>
      <c r="V52" s="11">
        <f t="shared" si="4"/>
        <v>0</v>
      </c>
    </row>
    <row r="53" ht="45" spans="1:22">
      <c r="A53" s="11">
        <v>39</v>
      </c>
      <c r="B53" s="11" t="s">
        <v>133</v>
      </c>
      <c r="C53" s="11" t="s">
        <v>85</v>
      </c>
      <c r="D53" s="11" t="s">
        <v>361</v>
      </c>
      <c r="E53" s="11" t="s">
        <v>362</v>
      </c>
      <c r="F53" s="11" t="s">
        <v>433</v>
      </c>
      <c r="G53" s="11" t="s">
        <v>434</v>
      </c>
      <c r="H53" s="11" t="s">
        <v>435</v>
      </c>
      <c r="I53" s="11" t="s">
        <v>436</v>
      </c>
      <c r="J53" s="14" t="s">
        <v>95</v>
      </c>
      <c r="K53" s="15" t="s">
        <v>242</v>
      </c>
      <c r="L53" s="11" t="s">
        <v>437</v>
      </c>
      <c r="M53" s="11" t="s">
        <v>438</v>
      </c>
      <c r="N53" s="11" t="s">
        <v>439</v>
      </c>
      <c r="O53" s="11" t="s">
        <v>370</v>
      </c>
      <c r="P53" s="14" t="s">
        <v>1</v>
      </c>
      <c r="Q53" s="16" t="s">
        <v>1</v>
      </c>
      <c r="R53" s="14" t="s">
        <v>1</v>
      </c>
      <c r="S53" s="11">
        <f t="shared" si="1"/>
        <v>0</v>
      </c>
      <c r="T53" s="11">
        <f t="shared" si="2"/>
        <v>0</v>
      </c>
      <c r="U53" s="11">
        <f t="shared" si="3"/>
        <v>1</v>
      </c>
      <c r="V53" s="11">
        <f t="shared" si="4"/>
        <v>0</v>
      </c>
    </row>
    <row r="54" ht="45" spans="1:22">
      <c r="A54" s="11">
        <v>40</v>
      </c>
      <c r="B54" s="11" t="s">
        <v>133</v>
      </c>
      <c r="C54" s="11" t="s">
        <v>85</v>
      </c>
      <c r="D54" s="11" t="s">
        <v>361</v>
      </c>
      <c r="E54" s="11" t="s">
        <v>362</v>
      </c>
      <c r="F54" s="11" t="s">
        <v>440</v>
      </c>
      <c r="G54" s="11" t="s">
        <v>441</v>
      </c>
      <c r="H54" s="11" t="s">
        <v>442</v>
      </c>
      <c r="I54" s="11" t="s">
        <v>443</v>
      </c>
      <c r="J54" s="14" t="s">
        <v>95</v>
      </c>
      <c r="K54" s="15" t="s">
        <v>242</v>
      </c>
      <c r="L54" s="11" t="s">
        <v>444</v>
      </c>
      <c r="M54" s="11" t="s">
        <v>445</v>
      </c>
      <c r="N54" s="11" t="s">
        <v>446</v>
      </c>
      <c r="O54" s="11" t="s">
        <v>370</v>
      </c>
      <c r="P54" s="14" t="s">
        <v>1</v>
      </c>
      <c r="Q54" s="16" t="s">
        <v>1</v>
      </c>
      <c r="R54" s="14" t="s">
        <v>1</v>
      </c>
      <c r="S54" s="11">
        <f t="shared" si="1"/>
        <v>0</v>
      </c>
      <c r="T54" s="11">
        <f t="shared" si="2"/>
        <v>0</v>
      </c>
      <c r="U54" s="11">
        <f t="shared" si="3"/>
        <v>1</v>
      </c>
      <c r="V54" s="11">
        <f t="shared" si="4"/>
        <v>0</v>
      </c>
    </row>
    <row r="55" ht="45" spans="1:22">
      <c r="A55" s="11">
        <v>41</v>
      </c>
      <c r="B55" s="11" t="s">
        <v>135</v>
      </c>
      <c r="C55" s="11" t="s">
        <v>92</v>
      </c>
      <c r="D55" s="11" t="s">
        <v>447</v>
      </c>
      <c r="E55" s="11" t="s">
        <v>447</v>
      </c>
      <c r="F55" s="11" t="s">
        <v>448</v>
      </c>
      <c r="G55" s="11" t="s">
        <v>449</v>
      </c>
      <c r="H55" s="11" t="s">
        <v>450</v>
      </c>
      <c r="I55" s="11" t="s">
        <v>451</v>
      </c>
      <c r="J55" s="14" t="s">
        <v>95</v>
      </c>
      <c r="K55" s="15" t="s">
        <v>167</v>
      </c>
      <c r="L55" s="11" t="s">
        <v>452</v>
      </c>
      <c r="M55" s="11" t="s">
        <v>453</v>
      </c>
      <c r="N55" s="11" t="s">
        <v>454</v>
      </c>
      <c r="O55" s="11" t="s">
        <v>209</v>
      </c>
      <c r="P55" s="14" t="s">
        <v>1</v>
      </c>
      <c r="Q55" s="16" t="s">
        <v>1</v>
      </c>
      <c r="R55" s="14" t="s">
        <v>1</v>
      </c>
      <c r="S55" s="11">
        <f t="shared" si="1"/>
        <v>0</v>
      </c>
      <c r="T55" s="11">
        <f t="shared" si="2"/>
        <v>0</v>
      </c>
      <c r="U55" s="11">
        <f t="shared" si="3"/>
        <v>1</v>
      </c>
      <c r="V55" s="11">
        <f t="shared" si="4"/>
        <v>0</v>
      </c>
    </row>
    <row r="56" ht="45" spans="1:22">
      <c r="A56" s="11">
        <v>42</v>
      </c>
      <c r="B56" s="11" t="s">
        <v>135</v>
      </c>
      <c r="C56" s="11" t="s">
        <v>92</v>
      </c>
      <c r="D56" s="11" t="s">
        <v>447</v>
      </c>
      <c r="E56" s="11" t="s">
        <v>447</v>
      </c>
      <c r="F56" s="11" t="s">
        <v>455</v>
      </c>
      <c r="G56" s="11" t="s">
        <v>456</v>
      </c>
      <c r="H56" s="11" t="s">
        <v>457</v>
      </c>
      <c r="I56" s="11" t="s">
        <v>458</v>
      </c>
      <c r="J56" s="14" t="s">
        <v>95</v>
      </c>
      <c r="K56" s="15" t="s">
        <v>167</v>
      </c>
      <c r="L56" s="11" t="s">
        <v>459</v>
      </c>
      <c r="M56" s="11" t="s">
        <v>460</v>
      </c>
      <c r="N56" s="11" t="s">
        <v>461</v>
      </c>
      <c r="O56" s="11" t="s">
        <v>209</v>
      </c>
      <c r="P56" s="14" t="s">
        <v>1</v>
      </c>
      <c r="Q56" s="16" t="s">
        <v>1</v>
      </c>
      <c r="R56" s="14" t="s">
        <v>1</v>
      </c>
      <c r="S56" s="11">
        <f t="shared" si="1"/>
        <v>0</v>
      </c>
      <c r="T56" s="11">
        <f t="shared" si="2"/>
        <v>0</v>
      </c>
      <c r="U56" s="11">
        <f t="shared" si="3"/>
        <v>1</v>
      </c>
      <c r="V56" s="11">
        <f t="shared" si="4"/>
        <v>0</v>
      </c>
    </row>
    <row r="57" ht="45" spans="1:22">
      <c r="A57" s="11">
        <v>43</v>
      </c>
      <c r="B57" s="11" t="s">
        <v>135</v>
      </c>
      <c r="C57" s="11" t="s">
        <v>92</v>
      </c>
      <c r="D57" s="11" t="s">
        <v>447</v>
      </c>
      <c r="E57" s="11" t="s">
        <v>447</v>
      </c>
      <c r="F57" s="11" t="s">
        <v>462</v>
      </c>
      <c r="G57" s="11" t="s">
        <v>463</v>
      </c>
      <c r="H57" s="11" t="s">
        <v>464</v>
      </c>
      <c r="I57" s="11" t="s">
        <v>465</v>
      </c>
      <c r="J57" s="14" t="s">
        <v>95</v>
      </c>
      <c r="K57" s="15" t="s">
        <v>242</v>
      </c>
      <c r="L57" s="11" t="s">
        <v>466</v>
      </c>
      <c r="M57" s="11" t="s">
        <v>467</v>
      </c>
      <c r="N57" s="11" t="s">
        <v>468</v>
      </c>
      <c r="O57" s="11" t="s">
        <v>209</v>
      </c>
      <c r="P57" s="14" t="s">
        <v>1</v>
      </c>
      <c r="Q57" s="16" t="s">
        <v>1</v>
      </c>
      <c r="R57" s="14" t="s">
        <v>1</v>
      </c>
      <c r="S57" s="11">
        <f t="shared" si="1"/>
        <v>0</v>
      </c>
      <c r="T57" s="11">
        <f t="shared" si="2"/>
        <v>0</v>
      </c>
      <c r="U57" s="11">
        <f t="shared" si="3"/>
        <v>1</v>
      </c>
      <c r="V57" s="11">
        <f t="shared" si="4"/>
        <v>0</v>
      </c>
    </row>
    <row r="58" ht="45" spans="1:22">
      <c r="A58" s="11">
        <v>44</v>
      </c>
      <c r="B58" s="11" t="s">
        <v>135</v>
      </c>
      <c r="C58" s="11" t="s">
        <v>92</v>
      </c>
      <c r="D58" s="11" t="s">
        <v>447</v>
      </c>
      <c r="E58" s="11" t="s">
        <v>447</v>
      </c>
      <c r="F58" s="11" t="s">
        <v>469</v>
      </c>
      <c r="G58" s="11" t="s">
        <v>470</v>
      </c>
      <c r="H58" s="11" t="s">
        <v>471</v>
      </c>
      <c r="I58" s="11" t="s">
        <v>472</v>
      </c>
      <c r="J58" s="14" t="s">
        <v>95</v>
      </c>
      <c r="K58" s="15" t="s">
        <v>167</v>
      </c>
      <c r="L58" s="11" t="s">
        <v>473</v>
      </c>
      <c r="M58" s="11" t="s">
        <v>474</v>
      </c>
      <c r="N58" s="11" t="s">
        <v>475</v>
      </c>
      <c r="O58" s="11" t="s">
        <v>209</v>
      </c>
      <c r="P58" s="14" t="s">
        <v>1</v>
      </c>
      <c r="Q58" s="16" t="s">
        <v>1</v>
      </c>
      <c r="R58" s="14" t="s">
        <v>1</v>
      </c>
      <c r="S58" s="11">
        <f t="shared" si="1"/>
        <v>0</v>
      </c>
      <c r="T58" s="11">
        <f t="shared" si="2"/>
        <v>0</v>
      </c>
      <c r="U58" s="11">
        <f t="shared" si="3"/>
        <v>1</v>
      </c>
      <c r="V58" s="11">
        <f t="shared" si="4"/>
        <v>0</v>
      </c>
    </row>
    <row r="59" ht="45" spans="1:22">
      <c r="A59" s="11">
        <v>45</v>
      </c>
      <c r="B59" s="11" t="s">
        <v>135</v>
      </c>
      <c r="C59" s="11" t="s">
        <v>92</v>
      </c>
      <c r="D59" s="11" t="s">
        <v>447</v>
      </c>
      <c r="E59" s="11" t="s">
        <v>447</v>
      </c>
      <c r="F59" s="11" t="s">
        <v>476</v>
      </c>
      <c r="G59" s="11" t="s">
        <v>477</v>
      </c>
      <c r="H59" s="11" t="s">
        <v>478</v>
      </c>
      <c r="I59" s="11" t="s">
        <v>479</v>
      </c>
      <c r="J59" s="14" t="s">
        <v>95</v>
      </c>
      <c r="K59" s="15" t="s">
        <v>242</v>
      </c>
      <c r="L59" s="11" t="s">
        <v>480</v>
      </c>
      <c r="M59" s="11" t="s">
        <v>481</v>
      </c>
      <c r="N59" s="11" t="s">
        <v>482</v>
      </c>
      <c r="O59" s="11" t="s">
        <v>209</v>
      </c>
      <c r="P59" s="14" t="s">
        <v>1</v>
      </c>
      <c r="Q59" s="16" t="s">
        <v>1</v>
      </c>
      <c r="R59" s="14" t="s">
        <v>1</v>
      </c>
      <c r="S59" s="11">
        <f t="shared" si="1"/>
        <v>0</v>
      </c>
      <c r="T59" s="11">
        <f t="shared" si="2"/>
        <v>0</v>
      </c>
      <c r="U59" s="11">
        <f t="shared" si="3"/>
        <v>1</v>
      </c>
      <c r="V59" s="11">
        <f t="shared" si="4"/>
        <v>0</v>
      </c>
    </row>
    <row r="60" ht="45" spans="1:22">
      <c r="A60" s="11">
        <v>46</v>
      </c>
      <c r="B60" s="11" t="s">
        <v>135</v>
      </c>
      <c r="C60" s="11" t="s">
        <v>92</v>
      </c>
      <c r="D60" s="11" t="s">
        <v>447</v>
      </c>
      <c r="E60" s="11" t="s">
        <v>447</v>
      </c>
      <c r="F60" s="11" t="s">
        <v>483</v>
      </c>
      <c r="G60" s="11" t="s">
        <v>484</v>
      </c>
      <c r="H60" s="11" t="s">
        <v>485</v>
      </c>
      <c r="I60" s="11" t="s">
        <v>486</v>
      </c>
      <c r="J60" s="14" t="s">
        <v>95</v>
      </c>
      <c r="K60" s="15" t="s">
        <v>167</v>
      </c>
      <c r="L60" s="11" t="s">
        <v>487</v>
      </c>
      <c r="M60" s="11" t="s">
        <v>488</v>
      </c>
      <c r="N60" s="11" t="s">
        <v>489</v>
      </c>
      <c r="O60" s="11" t="s">
        <v>209</v>
      </c>
      <c r="P60" s="14" t="s">
        <v>1</v>
      </c>
      <c r="Q60" s="16" t="s">
        <v>1</v>
      </c>
      <c r="R60" s="14" t="s">
        <v>1</v>
      </c>
      <c r="S60" s="11">
        <f t="shared" si="1"/>
        <v>0</v>
      </c>
      <c r="T60" s="11">
        <f t="shared" si="2"/>
        <v>0</v>
      </c>
      <c r="U60" s="11">
        <f t="shared" si="3"/>
        <v>1</v>
      </c>
      <c r="V60" s="11">
        <f t="shared" si="4"/>
        <v>0</v>
      </c>
    </row>
    <row r="61" ht="45" spans="1:22">
      <c r="A61" s="11">
        <v>47</v>
      </c>
      <c r="B61" s="11" t="s">
        <v>135</v>
      </c>
      <c r="C61" s="11" t="s">
        <v>92</v>
      </c>
      <c r="D61" s="11" t="s">
        <v>447</v>
      </c>
      <c r="E61" s="11" t="s">
        <v>447</v>
      </c>
      <c r="F61" s="11" t="s">
        <v>490</v>
      </c>
      <c r="G61" s="11" t="s">
        <v>491</v>
      </c>
      <c r="H61" s="11" t="s">
        <v>492</v>
      </c>
      <c r="I61" s="11" t="s">
        <v>493</v>
      </c>
      <c r="J61" s="14" t="s">
        <v>95</v>
      </c>
      <c r="K61" s="15" t="s">
        <v>167</v>
      </c>
      <c r="L61" s="11" t="s">
        <v>494</v>
      </c>
      <c r="M61" s="11" t="s">
        <v>495</v>
      </c>
      <c r="N61" s="11" t="s">
        <v>496</v>
      </c>
      <c r="O61" s="11" t="s">
        <v>209</v>
      </c>
      <c r="P61" s="14" t="s">
        <v>1</v>
      </c>
      <c r="Q61" s="16" t="s">
        <v>1</v>
      </c>
      <c r="R61" s="14" t="s">
        <v>1</v>
      </c>
      <c r="S61" s="11">
        <f t="shared" si="1"/>
        <v>0</v>
      </c>
      <c r="T61" s="11">
        <f t="shared" si="2"/>
        <v>0</v>
      </c>
      <c r="U61" s="11">
        <f t="shared" si="3"/>
        <v>1</v>
      </c>
      <c r="V61" s="11">
        <f t="shared" si="4"/>
        <v>0</v>
      </c>
    </row>
    <row r="62" ht="45" spans="1:22">
      <c r="A62" s="11">
        <v>48</v>
      </c>
      <c r="B62" s="11" t="s">
        <v>136</v>
      </c>
      <c r="C62" s="11" t="s">
        <v>100</v>
      </c>
      <c r="D62" s="11" t="s">
        <v>497</v>
      </c>
      <c r="E62" s="11" t="s">
        <v>498</v>
      </c>
      <c r="F62" s="11" t="s">
        <v>499</v>
      </c>
      <c r="G62" s="11" t="s">
        <v>500</v>
      </c>
      <c r="H62" s="11" t="s">
        <v>501</v>
      </c>
      <c r="I62" s="11" t="s">
        <v>502</v>
      </c>
      <c r="J62" s="14" t="s">
        <v>95</v>
      </c>
      <c r="K62" s="15" t="s">
        <v>396</v>
      </c>
      <c r="L62" s="11" t="s">
        <v>503</v>
      </c>
      <c r="M62" s="11" t="s">
        <v>504</v>
      </c>
      <c r="N62" s="11" t="s">
        <v>505</v>
      </c>
      <c r="O62" s="11" t="s">
        <v>209</v>
      </c>
      <c r="P62" s="14" t="s">
        <v>1</v>
      </c>
      <c r="Q62" s="16" t="s">
        <v>1</v>
      </c>
      <c r="R62" s="14" t="s">
        <v>1</v>
      </c>
      <c r="S62" s="11">
        <f t="shared" si="1"/>
        <v>0</v>
      </c>
      <c r="T62" s="11">
        <f t="shared" si="2"/>
        <v>0</v>
      </c>
      <c r="U62" s="11">
        <f t="shared" si="3"/>
        <v>1</v>
      </c>
      <c r="V62" s="11">
        <f t="shared" si="4"/>
        <v>0</v>
      </c>
    </row>
    <row r="63" ht="45" spans="1:22">
      <c r="A63" s="11">
        <v>49</v>
      </c>
      <c r="B63" s="11" t="s">
        <v>136</v>
      </c>
      <c r="C63" s="11" t="s">
        <v>100</v>
      </c>
      <c r="D63" s="11" t="s">
        <v>497</v>
      </c>
      <c r="E63" s="11" t="s">
        <v>498</v>
      </c>
      <c r="F63" s="11" t="s">
        <v>506</v>
      </c>
      <c r="G63" s="11" t="s">
        <v>507</v>
      </c>
      <c r="H63" s="11" t="s">
        <v>508</v>
      </c>
      <c r="I63" s="11" t="s">
        <v>509</v>
      </c>
      <c r="J63" s="14" t="s">
        <v>95</v>
      </c>
      <c r="K63" s="15" t="s">
        <v>167</v>
      </c>
      <c r="L63" s="11" t="s">
        <v>510</v>
      </c>
      <c r="M63" s="11" t="s">
        <v>511</v>
      </c>
      <c r="N63" s="11" t="s">
        <v>512</v>
      </c>
      <c r="O63" s="11" t="s">
        <v>209</v>
      </c>
      <c r="P63" s="14" t="s">
        <v>1</v>
      </c>
      <c r="Q63" s="16" t="s">
        <v>1</v>
      </c>
      <c r="R63" s="14" t="s">
        <v>1</v>
      </c>
      <c r="S63" s="11">
        <f t="shared" si="1"/>
        <v>0</v>
      </c>
      <c r="T63" s="11">
        <f t="shared" si="2"/>
        <v>0</v>
      </c>
      <c r="U63" s="11">
        <f t="shared" si="3"/>
        <v>1</v>
      </c>
      <c r="V63" s="11">
        <f t="shared" si="4"/>
        <v>0</v>
      </c>
    </row>
    <row r="64" ht="45" spans="1:22">
      <c r="A64" s="11">
        <v>50</v>
      </c>
      <c r="B64" s="11" t="s">
        <v>136</v>
      </c>
      <c r="C64" s="11" t="s">
        <v>100</v>
      </c>
      <c r="D64" s="11" t="s">
        <v>497</v>
      </c>
      <c r="E64" s="11" t="s">
        <v>498</v>
      </c>
      <c r="F64" s="11" t="s">
        <v>513</v>
      </c>
      <c r="G64" s="11" t="s">
        <v>514</v>
      </c>
      <c r="H64" s="11" t="s">
        <v>515</v>
      </c>
      <c r="I64" s="11" t="s">
        <v>516</v>
      </c>
      <c r="J64" s="14" t="s">
        <v>95</v>
      </c>
      <c r="K64" s="15" t="s">
        <v>167</v>
      </c>
      <c r="L64" s="11" t="s">
        <v>517</v>
      </c>
      <c r="M64" s="11" t="s">
        <v>518</v>
      </c>
      <c r="N64" s="11" t="s">
        <v>519</v>
      </c>
      <c r="O64" s="11" t="s">
        <v>209</v>
      </c>
      <c r="P64" s="14" t="s">
        <v>1</v>
      </c>
      <c r="Q64" s="16" t="s">
        <v>1</v>
      </c>
      <c r="R64" s="14" t="s">
        <v>1</v>
      </c>
      <c r="S64" s="11">
        <f t="shared" si="1"/>
        <v>0</v>
      </c>
      <c r="T64" s="11">
        <f t="shared" si="2"/>
        <v>0</v>
      </c>
      <c r="U64" s="11">
        <f t="shared" si="3"/>
        <v>1</v>
      </c>
      <c r="V64" s="11">
        <f t="shared" si="4"/>
        <v>0</v>
      </c>
    </row>
    <row r="65" ht="45" spans="1:22">
      <c r="A65" s="11">
        <v>51</v>
      </c>
      <c r="B65" s="11" t="s">
        <v>136</v>
      </c>
      <c r="C65" s="11" t="s">
        <v>100</v>
      </c>
      <c r="D65" s="11" t="s">
        <v>497</v>
      </c>
      <c r="E65" s="11" t="s">
        <v>498</v>
      </c>
      <c r="F65" s="11" t="s">
        <v>520</v>
      </c>
      <c r="G65" s="11" t="s">
        <v>521</v>
      </c>
      <c r="H65" s="11" t="s">
        <v>522</v>
      </c>
      <c r="I65" s="11" t="s">
        <v>523</v>
      </c>
      <c r="J65" s="14" t="s">
        <v>95</v>
      </c>
      <c r="K65" s="15" t="s">
        <v>167</v>
      </c>
      <c r="L65" s="11" t="s">
        <v>524</v>
      </c>
      <c r="M65" s="11" t="s">
        <v>525</v>
      </c>
      <c r="N65" s="11" t="s">
        <v>526</v>
      </c>
      <c r="O65" s="11" t="s">
        <v>209</v>
      </c>
      <c r="P65" s="14" t="s">
        <v>1</v>
      </c>
      <c r="Q65" s="16" t="s">
        <v>1</v>
      </c>
      <c r="R65" s="14" t="s">
        <v>1</v>
      </c>
      <c r="S65" s="11">
        <f t="shared" si="1"/>
        <v>0</v>
      </c>
      <c r="T65" s="11">
        <f t="shared" si="2"/>
        <v>0</v>
      </c>
      <c r="U65" s="11">
        <f t="shared" si="3"/>
        <v>1</v>
      </c>
      <c r="V65" s="11">
        <f t="shared" si="4"/>
        <v>0</v>
      </c>
    </row>
    <row r="66" ht="45" spans="1:22">
      <c r="A66" s="11">
        <v>52</v>
      </c>
      <c r="B66" s="11" t="s">
        <v>136</v>
      </c>
      <c r="C66" s="11" t="s">
        <v>100</v>
      </c>
      <c r="D66" s="11" t="s">
        <v>497</v>
      </c>
      <c r="E66" s="11" t="s">
        <v>498</v>
      </c>
      <c r="F66" s="11" t="s">
        <v>527</v>
      </c>
      <c r="G66" s="11" t="s">
        <v>528</v>
      </c>
      <c r="H66" s="11" t="s">
        <v>529</v>
      </c>
      <c r="I66" s="11" t="s">
        <v>530</v>
      </c>
      <c r="J66" s="14" t="s">
        <v>95</v>
      </c>
      <c r="K66" s="15" t="s">
        <v>242</v>
      </c>
      <c r="L66" s="11" t="s">
        <v>531</v>
      </c>
      <c r="M66" s="11" t="s">
        <v>532</v>
      </c>
      <c r="N66" s="11" t="s">
        <v>533</v>
      </c>
      <c r="O66" s="11" t="s">
        <v>209</v>
      </c>
      <c r="P66" s="14" t="s">
        <v>1</v>
      </c>
      <c r="Q66" s="16" t="s">
        <v>1</v>
      </c>
      <c r="R66" s="14" t="s">
        <v>1</v>
      </c>
      <c r="S66" s="11">
        <f t="shared" si="1"/>
        <v>0</v>
      </c>
      <c r="T66" s="11">
        <f t="shared" si="2"/>
        <v>0</v>
      </c>
      <c r="U66" s="11">
        <f t="shared" si="3"/>
        <v>1</v>
      </c>
      <c r="V66" s="11">
        <f t="shared" si="4"/>
        <v>0</v>
      </c>
    </row>
    <row r="67" ht="45" spans="1:22">
      <c r="A67" s="11">
        <v>53</v>
      </c>
      <c r="B67" s="11" t="s">
        <v>136</v>
      </c>
      <c r="C67" s="11" t="s">
        <v>100</v>
      </c>
      <c r="D67" s="11" t="s">
        <v>497</v>
      </c>
      <c r="E67" s="11" t="s">
        <v>498</v>
      </c>
      <c r="F67" s="11" t="s">
        <v>534</v>
      </c>
      <c r="G67" s="11" t="s">
        <v>535</v>
      </c>
      <c r="H67" s="11" t="s">
        <v>536</v>
      </c>
      <c r="I67" s="11" t="s">
        <v>537</v>
      </c>
      <c r="J67" s="14" t="s">
        <v>95</v>
      </c>
      <c r="K67" s="15" t="s">
        <v>242</v>
      </c>
      <c r="L67" s="11" t="s">
        <v>538</v>
      </c>
      <c r="M67" s="11" t="s">
        <v>539</v>
      </c>
      <c r="N67" s="11" t="s">
        <v>540</v>
      </c>
      <c r="O67" s="11" t="s">
        <v>209</v>
      </c>
      <c r="P67" s="14" t="s">
        <v>1</v>
      </c>
      <c r="Q67" s="16" t="s">
        <v>1</v>
      </c>
      <c r="R67" s="14" t="s">
        <v>1</v>
      </c>
      <c r="S67" s="11">
        <f t="shared" si="1"/>
        <v>0</v>
      </c>
      <c r="T67" s="11">
        <f t="shared" si="2"/>
        <v>0</v>
      </c>
      <c r="U67" s="11">
        <f t="shared" si="3"/>
        <v>1</v>
      </c>
      <c r="V67" s="11">
        <f t="shared" si="4"/>
        <v>0</v>
      </c>
    </row>
    <row r="68" ht="45" spans="1:22">
      <c r="A68" s="11">
        <v>54</v>
      </c>
      <c r="B68" s="11" t="s">
        <v>136</v>
      </c>
      <c r="C68" s="11" t="s">
        <v>100</v>
      </c>
      <c r="D68" s="11" t="s">
        <v>497</v>
      </c>
      <c r="E68" s="11" t="s">
        <v>498</v>
      </c>
      <c r="F68" s="11" t="s">
        <v>541</v>
      </c>
      <c r="G68" s="11" t="s">
        <v>535</v>
      </c>
      <c r="H68" s="11" t="s">
        <v>542</v>
      </c>
      <c r="I68" s="11" t="s">
        <v>543</v>
      </c>
      <c r="J68" s="14" t="s">
        <v>95</v>
      </c>
      <c r="K68" s="15" t="s">
        <v>242</v>
      </c>
      <c r="L68" s="11" t="s">
        <v>538</v>
      </c>
      <c r="M68" s="11" t="s">
        <v>544</v>
      </c>
      <c r="N68" s="11" t="s">
        <v>545</v>
      </c>
      <c r="O68" s="11" t="s">
        <v>209</v>
      </c>
      <c r="P68" s="14" t="s">
        <v>1</v>
      </c>
      <c r="Q68" s="16" t="s">
        <v>1</v>
      </c>
      <c r="R68" s="14" t="s">
        <v>1</v>
      </c>
      <c r="S68" s="11">
        <f t="shared" si="1"/>
        <v>0</v>
      </c>
      <c r="T68" s="11">
        <f t="shared" si="2"/>
        <v>0</v>
      </c>
      <c r="U68" s="11">
        <f t="shared" si="3"/>
        <v>1</v>
      </c>
      <c r="V68" s="11">
        <f t="shared" si="4"/>
        <v>0</v>
      </c>
    </row>
    <row r="69" ht="45" spans="1:22">
      <c r="A69" s="11">
        <v>55</v>
      </c>
      <c r="B69" s="11" t="s">
        <v>136</v>
      </c>
      <c r="C69" s="11" t="s">
        <v>100</v>
      </c>
      <c r="D69" s="11" t="s">
        <v>497</v>
      </c>
      <c r="E69" s="11" t="s">
        <v>498</v>
      </c>
      <c r="F69" s="11" t="s">
        <v>546</v>
      </c>
      <c r="G69" s="11" t="s">
        <v>547</v>
      </c>
      <c r="H69" s="11" t="s">
        <v>548</v>
      </c>
      <c r="I69" s="11" t="s">
        <v>549</v>
      </c>
      <c r="J69" s="14" t="s">
        <v>95</v>
      </c>
      <c r="K69" s="15" t="s">
        <v>242</v>
      </c>
      <c r="L69" s="11" t="s">
        <v>550</v>
      </c>
      <c r="M69" s="11" t="s">
        <v>551</v>
      </c>
      <c r="N69" s="11" t="s">
        <v>552</v>
      </c>
      <c r="O69" s="11" t="s">
        <v>209</v>
      </c>
      <c r="P69" s="14" t="s">
        <v>1</v>
      </c>
      <c r="Q69" s="16" t="s">
        <v>1</v>
      </c>
      <c r="R69" s="14" t="s">
        <v>1</v>
      </c>
      <c r="S69" s="11">
        <f t="shared" si="1"/>
        <v>0</v>
      </c>
      <c r="T69" s="11">
        <f t="shared" si="2"/>
        <v>0</v>
      </c>
      <c r="U69" s="11">
        <f t="shared" si="3"/>
        <v>1</v>
      </c>
      <c r="V69" s="11">
        <f t="shared" si="4"/>
        <v>0</v>
      </c>
    </row>
    <row r="70" ht="45" spans="1:22">
      <c r="A70" s="11">
        <v>56</v>
      </c>
      <c r="B70" s="11" t="s">
        <v>137</v>
      </c>
      <c r="C70" s="11" t="s">
        <v>107</v>
      </c>
      <c r="D70" s="11" t="s">
        <v>553</v>
      </c>
      <c r="E70" s="11" t="s">
        <v>554</v>
      </c>
      <c r="F70" s="11" t="s">
        <v>555</v>
      </c>
      <c r="G70" s="11" t="s">
        <v>556</v>
      </c>
      <c r="H70" s="11" t="s">
        <v>557</v>
      </c>
      <c r="I70" s="11" t="s">
        <v>558</v>
      </c>
      <c r="J70" s="14" t="s">
        <v>95</v>
      </c>
      <c r="K70" s="15" t="s">
        <v>167</v>
      </c>
      <c r="L70" s="11" t="s">
        <v>559</v>
      </c>
      <c r="M70" s="11" t="s">
        <v>560</v>
      </c>
      <c r="N70" s="11" t="s">
        <v>561</v>
      </c>
      <c r="O70" s="11" t="s">
        <v>209</v>
      </c>
      <c r="P70" s="14" t="s">
        <v>1</v>
      </c>
      <c r="Q70" s="16" t="s">
        <v>1</v>
      </c>
      <c r="R70" s="14" t="s">
        <v>1</v>
      </c>
      <c r="S70" s="11">
        <f t="shared" si="1"/>
        <v>0</v>
      </c>
      <c r="T70" s="11">
        <f t="shared" si="2"/>
        <v>0</v>
      </c>
      <c r="U70" s="11">
        <f t="shared" si="3"/>
        <v>1</v>
      </c>
      <c r="V70" s="11">
        <f t="shared" si="4"/>
        <v>0</v>
      </c>
    </row>
    <row r="71" ht="45" spans="1:22">
      <c r="A71" s="11">
        <v>57</v>
      </c>
      <c r="B71" s="11" t="s">
        <v>137</v>
      </c>
      <c r="C71" s="11" t="s">
        <v>107</v>
      </c>
      <c r="D71" s="11" t="s">
        <v>553</v>
      </c>
      <c r="E71" s="11" t="s">
        <v>554</v>
      </c>
      <c r="F71" s="11" t="s">
        <v>562</v>
      </c>
      <c r="G71" s="11" t="s">
        <v>563</v>
      </c>
      <c r="H71" s="11" t="s">
        <v>564</v>
      </c>
      <c r="I71" s="11" t="s">
        <v>565</v>
      </c>
      <c r="J71" s="14" t="s">
        <v>95</v>
      </c>
      <c r="K71" s="15" t="s">
        <v>242</v>
      </c>
      <c r="L71" s="11" t="s">
        <v>566</v>
      </c>
      <c r="M71" s="11" t="s">
        <v>567</v>
      </c>
      <c r="N71" s="11" t="s">
        <v>568</v>
      </c>
      <c r="O71" s="11" t="s">
        <v>209</v>
      </c>
      <c r="P71" s="14" t="s">
        <v>1</v>
      </c>
      <c r="Q71" s="16" t="s">
        <v>1</v>
      </c>
      <c r="R71" s="14" t="s">
        <v>1</v>
      </c>
      <c r="S71" s="11">
        <f t="shared" si="1"/>
        <v>0</v>
      </c>
      <c r="T71" s="11">
        <f t="shared" si="2"/>
        <v>0</v>
      </c>
      <c r="U71" s="11">
        <f t="shared" si="3"/>
        <v>1</v>
      </c>
      <c r="V71" s="11">
        <f t="shared" si="4"/>
        <v>0</v>
      </c>
    </row>
    <row r="72" ht="45" spans="1:22">
      <c r="A72" s="11">
        <v>58</v>
      </c>
      <c r="B72" s="11" t="s">
        <v>137</v>
      </c>
      <c r="C72" s="11" t="s">
        <v>107</v>
      </c>
      <c r="D72" s="11" t="s">
        <v>553</v>
      </c>
      <c r="E72" s="11" t="s">
        <v>554</v>
      </c>
      <c r="F72" s="11" t="s">
        <v>569</v>
      </c>
      <c r="G72" s="11" t="s">
        <v>570</v>
      </c>
      <c r="H72" s="11" t="s">
        <v>571</v>
      </c>
      <c r="I72" s="11" t="s">
        <v>572</v>
      </c>
      <c r="J72" s="14" t="s">
        <v>95</v>
      </c>
      <c r="K72" s="15" t="s">
        <v>242</v>
      </c>
      <c r="L72" s="11" t="s">
        <v>566</v>
      </c>
      <c r="M72" s="11" t="s">
        <v>573</v>
      </c>
      <c r="N72" s="11" t="s">
        <v>574</v>
      </c>
      <c r="O72" s="11" t="s">
        <v>209</v>
      </c>
      <c r="P72" s="14" t="s">
        <v>1</v>
      </c>
      <c r="Q72" s="16" t="s">
        <v>1</v>
      </c>
      <c r="R72" s="14" t="s">
        <v>1</v>
      </c>
      <c r="S72" s="11">
        <f t="shared" si="1"/>
        <v>0</v>
      </c>
      <c r="T72" s="11">
        <f t="shared" si="2"/>
        <v>0</v>
      </c>
      <c r="U72" s="11">
        <f t="shared" si="3"/>
        <v>1</v>
      </c>
      <c r="V72" s="11">
        <f t="shared" si="4"/>
        <v>0</v>
      </c>
    </row>
    <row r="73" ht="45" spans="1:22">
      <c r="A73" s="11">
        <v>59</v>
      </c>
      <c r="B73" s="11" t="s">
        <v>137</v>
      </c>
      <c r="C73" s="11" t="s">
        <v>107</v>
      </c>
      <c r="D73" s="11" t="s">
        <v>553</v>
      </c>
      <c r="E73" s="11" t="s">
        <v>554</v>
      </c>
      <c r="F73" s="11" t="s">
        <v>575</v>
      </c>
      <c r="G73" s="11" t="s">
        <v>576</v>
      </c>
      <c r="H73" s="11" t="s">
        <v>577</v>
      </c>
      <c r="I73" s="11" t="s">
        <v>578</v>
      </c>
      <c r="J73" s="14" t="s">
        <v>95</v>
      </c>
      <c r="K73" s="15" t="s">
        <v>167</v>
      </c>
      <c r="L73" s="11" t="s">
        <v>579</v>
      </c>
      <c r="M73" s="11" t="s">
        <v>580</v>
      </c>
      <c r="N73" s="11" t="s">
        <v>581</v>
      </c>
      <c r="O73" s="11" t="s">
        <v>209</v>
      </c>
      <c r="P73" s="14" t="s">
        <v>1</v>
      </c>
      <c r="Q73" s="16" t="s">
        <v>1</v>
      </c>
      <c r="R73" s="14" t="s">
        <v>1</v>
      </c>
      <c r="S73" s="11">
        <f t="shared" si="1"/>
        <v>0</v>
      </c>
      <c r="T73" s="11">
        <f t="shared" si="2"/>
        <v>0</v>
      </c>
      <c r="U73" s="11">
        <f t="shared" si="3"/>
        <v>1</v>
      </c>
      <c r="V73" s="11">
        <f t="shared" si="4"/>
        <v>0</v>
      </c>
    </row>
    <row r="74" ht="45" spans="1:22">
      <c r="A74" s="11">
        <v>60</v>
      </c>
      <c r="B74" s="11" t="s">
        <v>137</v>
      </c>
      <c r="C74" s="11" t="s">
        <v>107</v>
      </c>
      <c r="D74" s="11" t="s">
        <v>553</v>
      </c>
      <c r="E74" s="11" t="s">
        <v>554</v>
      </c>
      <c r="F74" s="11" t="s">
        <v>582</v>
      </c>
      <c r="G74" s="11" t="s">
        <v>583</v>
      </c>
      <c r="H74" s="11" t="s">
        <v>584</v>
      </c>
      <c r="I74" s="11" t="s">
        <v>585</v>
      </c>
      <c r="J74" s="14" t="s">
        <v>95</v>
      </c>
      <c r="K74" s="15" t="s">
        <v>167</v>
      </c>
      <c r="L74" s="11" t="s">
        <v>586</v>
      </c>
      <c r="M74" s="11" t="s">
        <v>587</v>
      </c>
      <c r="N74" s="11" t="s">
        <v>588</v>
      </c>
      <c r="O74" s="11" t="s">
        <v>209</v>
      </c>
      <c r="P74" s="14" t="s">
        <v>1</v>
      </c>
      <c r="Q74" s="16" t="s">
        <v>1</v>
      </c>
      <c r="R74" s="14" t="s">
        <v>1</v>
      </c>
      <c r="S74" s="11">
        <f t="shared" si="1"/>
        <v>0</v>
      </c>
      <c r="T74" s="11">
        <f t="shared" si="2"/>
        <v>0</v>
      </c>
      <c r="U74" s="11">
        <f t="shared" si="3"/>
        <v>1</v>
      </c>
      <c r="V74" s="11">
        <f t="shared" si="4"/>
        <v>0</v>
      </c>
    </row>
    <row r="75" ht="45" spans="1:22">
      <c r="A75" s="11">
        <v>61</v>
      </c>
      <c r="B75" s="11" t="s">
        <v>137</v>
      </c>
      <c r="C75" s="11" t="s">
        <v>107</v>
      </c>
      <c r="D75" s="11" t="s">
        <v>553</v>
      </c>
      <c r="E75" s="11" t="s">
        <v>554</v>
      </c>
      <c r="F75" s="11" t="s">
        <v>589</v>
      </c>
      <c r="G75" s="11" t="s">
        <v>590</v>
      </c>
      <c r="H75" s="11" t="s">
        <v>591</v>
      </c>
      <c r="I75" s="11" t="s">
        <v>592</v>
      </c>
      <c r="J75" s="14" t="s">
        <v>95</v>
      </c>
      <c r="K75" s="15" t="s">
        <v>242</v>
      </c>
      <c r="L75" s="11" t="s">
        <v>593</v>
      </c>
      <c r="M75" s="11" t="s">
        <v>594</v>
      </c>
      <c r="N75" s="11" t="s">
        <v>595</v>
      </c>
      <c r="O75" s="11" t="s">
        <v>209</v>
      </c>
      <c r="P75" s="14" t="s">
        <v>1</v>
      </c>
      <c r="Q75" s="16" t="s">
        <v>1</v>
      </c>
      <c r="R75" s="14" t="s">
        <v>1</v>
      </c>
      <c r="S75" s="11">
        <f t="shared" si="1"/>
        <v>0</v>
      </c>
      <c r="T75" s="11">
        <f t="shared" si="2"/>
        <v>0</v>
      </c>
      <c r="U75" s="11">
        <f t="shared" si="3"/>
        <v>1</v>
      </c>
      <c r="V75" s="11">
        <f t="shared" si="4"/>
        <v>0</v>
      </c>
    </row>
    <row r="76" ht="45" spans="1:22">
      <c r="A76" s="11">
        <v>62</v>
      </c>
      <c r="B76" s="11" t="s">
        <v>137</v>
      </c>
      <c r="C76" s="11" t="s">
        <v>107</v>
      </c>
      <c r="D76" s="11" t="s">
        <v>553</v>
      </c>
      <c r="E76" s="11" t="s">
        <v>554</v>
      </c>
      <c r="F76" s="11" t="s">
        <v>596</v>
      </c>
      <c r="G76" s="11" t="s">
        <v>597</v>
      </c>
      <c r="H76" s="11" t="s">
        <v>598</v>
      </c>
      <c r="I76" s="11" t="s">
        <v>599</v>
      </c>
      <c r="J76" s="14" t="s">
        <v>95</v>
      </c>
      <c r="K76" s="15" t="s">
        <v>167</v>
      </c>
      <c r="L76" s="11" t="s">
        <v>600</v>
      </c>
      <c r="M76" s="11" t="s">
        <v>601</v>
      </c>
      <c r="N76" s="11" t="s">
        <v>602</v>
      </c>
      <c r="O76" s="11" t="s">
        <v>209</v>
      </c>
      <c r="P76" s="14" t="s">
        <v>1</v>
      </c>
      <c r="Q76" s="16" t="s">
        <v>1</v>
      </c>
      <c r="R76" s="14" t="s">
        <v>1</v>
      </c>
      <c r="S76" s="11">
        <f t="shared" si="1"/>
        <v>0</v>
      </c>
      <c r="T76" s="11">
        <f t="shared" si="2"/>
        <v>0</v>
      </c>
      <c r="U76" s="11">
        <f t="shared" si="3"/>
        <v>1</v>
      </c>
      <c r="V76" s="11">
        <f t="shared" si="4"/>
        <v>0</v>
      </c>
    </row>
    <row r="77" ht="45" spans="1:22">
      <c r="A77" s="11">
        <v>63</v>
      </c>
      <c r="B77" s="11" t="s">
        <v>137</v>
      </c>
      <c r="C77" s="11" t="s">
        <v>107</v>
      </c>
      <c r="D77" s="11" t="s">
        <v>553</v>
      </c>
      <c r="E77" s="11" t="s">
        <v>554</v>
      </c>
      <c r="F77" s="11" t="s">
        <v>603</v>
      </c>
      <c r="G77" s="11" t="s">
        <v>604</v>
      </c>
      <c r="H77" s="11" t="s">
        <v>605</v>
      </c>
      <c r="I77" s="11" t="s">
        <v>606</v>
      </c>
      <c r="J77" s="14" t="s">
        <v>95</v>
      </c>
      <c r="K77" s="15" t="s">
        <v>242</v>
      </c>
      <c r="L77" s="11" t="s">
        <v>607</v>
      </c>
      <c r="M77" s="11" t="s">
        <v>608</v>
      </c>
      <c r="N77" s="11" t="s">
        <v>609</v>
      </c>
      <c r="O77" s="11" t="s">
        <v>209</v>
      </c>
      <c r="P77" s="14" t="s">
        <v>1</v>
      </c>
      <c r="Q77" s="16" t="s">
        <v>1</v>
      </c>
      <c r="R77" s="14" t="s">
        <v>1</v>
      </c>
      <c r="S77" s="11">
        <f t="shared" si="1"/>
        <v>0</v>
      </c>
      <c r="T77" s="11">
        <f t="shared" si="2"/>
        <v>0</v>
      </c>
      <c r="U77" s="11">
        <f t="shared" si="3"/>
        <v>1</v>
      </c>
      <c r="V77" s="11">
        <f t="shared" si="4"/>
        <v>0</v>
      </c>
    </row>
    <row r="78" ht="45" spans="1:22">
      <c r="A78" s="11">
        <v>64</v>
      </c>
      <c r="B78" s="11" t="s">
        <v>138</v>
      </c>
      <c r="C78" s="11" t="s">
        <v>610</v>
      </c>
      <c r="D78" s="11" t="s">
        <v>611</v>
      </c>
      <c r="E78" s="11" t="s">
        <v>612</v>
      </c>
      <c r="F78" s="11" t="s">
        <v>613</v>
      </c>
      <c r="G78" s="11" t="s">
        <v>614</v>
      </c>
      <c r="H78" s="11" t="s">
        <v>615</v>
      </c>
      <c r="I78" s="11" t="s">
        <v>616</v>
      </c>
      <c r="J78" s="14" t="s">
        <v>95</v>
      </c>
      <c r="K78" s="15" t="s">
        <v>167</v>
      </c>
      <c r="L78" s="11" t="s">
        <v>617</v>
      </c>
      <c r="M78" s="11" t="s">
        <v>618</v>
      </c>
      <c r="N78" s="11" t="s">
        <v>619</v>
      </c>
      <c r="O78" s="11" t="s">
        <v>209</v>
      </c>
      <c r="P78" s="14" t="s">
        <v>1</v>
      </c>
      <c r="Q78" s="16" t="s">
        <v>1</v>
      </c>
      <c r="R78" s="14" t="s">
        <v>1</v>
      </c>
      <c r="S78" s="11">
        <f t="shared" si="1"/>
        <v>0</v>
      </c>
      <c r="T78" s="11">
        <f t="shared" si="2"/>
        <v>0</v>
      </c>
      <c r="U78" s="11">
        <f t="shared" si="3"/>
        <v>1</v>
      </c>
      <c r="V78" s="11">
        <f t="shared" si="4"/>
        <v>0</v>
      </c>
    </row>
    <row r="79" ht="45" spans="1:22">
      <c r="A79" s="11">
        <v>65</v>
      </c>
      <c r="B79" s="11" t="s">
        <v>138</v>
      </c>
      <c r="C79" s="11" t="s">
        <v>610</v>
      </c>
      <c r="D79" s="11" t="s">
        <v>611</v>
      </c>
      <c r="E79" s="11" t="s">
        <v>612</v>
      </c>
      <c r="F79" s="11" t="s">
        <v>620</v>
      </c>
      <c r="G79" s="11" t="s">
        <v>621</v>
      </c>
      <c r="H79" s="11" t="s">
        <v>622</v>
      </c>
      <c r="I79" s="11" t="s">
        <v>623</v>
      </c>
      <c r="J79" s="14" t="s">
        <v>95</v>
      </c>
      <c r="K79" s="15" t="s">
        <v>167</v>
      </c>
      <c r="L79" s="11" t="s">
        <v>624</v>
      </c>
      <c r="M79" s="11" t="s">
        <v>625</v>
      </c>
      <c r="N79" s="11" t="s">
        <v>626</v>
      </c>
      <c r="O79" s="11" t="s">
        <v>209</v>
      </c>
      <c r="P79" s="14" t="s">
        <v>1</v>
      </c>
      <c r="Q79" s="16" t="s">
        <v>1</v>
      </c>
      <c r="R79" s="14" t="s">
        <v>1</v>
      </c>
      <c r="S79" s="11">
        <f t="shared" ref="S79:S93" si="5">IF($J79="DONE",1,0)</f>
        <v>0</v>
      </c>
      <c r="T79" s="11">
        <f t="shared" ref="T79:T93" si="6">IF($J79="IN_PROGRESS",1,0)</f>
        <v>0</v>
      </c>
      <c r="U79" s="11">
        <f t="shared" ref="U79:U93" si="7">IF(OR($J79="OPEN",$J79="NOT_STARTED"),1,0)</f>
        <v>1</v>
      </c>
      <c r="V79" s="11">
        <f t="shared" ref="V79:V93" si="8">IF($J79="BLOCKED",1,0)</f>
        <v>0</v>
      </c>
    </row>
    <row r="80" ht="45" spans="1:22">
      <c r="A80" s="11">
        <v>66</v>
      </c>
      <c r="B80" s="11" t="s">
        <v>138</v>
      </c>
      <c r="C80" s="11" t="s">
        <v>610</v>
      </c>
      <c r="D80" s="11" t="s">
        <v>611</v>
      </c>
      <c r="E80" s="11" t="s">
        <v>612</v>
      </c>
      <c r="F80" s="11" t="s">
        <v>627</v>
      </c>
      <c r="G80" s="11" t="s">
        <v>628</v>
      </c>
      <c r="H80" s="11" t="s">
        <v>629</v>
      </c>
      <c r="I80" s="11" t="s">
        <v>630</v>
      </c>
      <c r="J80" s="14" t="s">
        <v>95</v>
      </c>
      <c r="K80" s="15" t="s">
        <v>242</v>
      </c>
      <c r="L80" s="11" t="s">
        <v>631</v>
      </c>
      <c r="M80" s="11" t="s">
        <v>632</v>
      </c>
      <c r="N80" s="11" t="s">
        <v>633</v>
      </c>
      <c r="O80" s="11" t="s">
        <v>209</v>
      </c>
      <c r="P80" s="14" t="s">
        <v>1</v>
      </c>
      <c r="Q80" s="16" t="s">
        <v>1</v>
      </c>
      <c r="R80" s="14" t="s">
        <v>1</v>
      </c>
      <c r="S80" s="11">
        <f t="shared" si="5"/>
        <v>0</v>
      </c>
      <c r="T80" s="11">
        <f t="shared" si="6"/>
        <v>0</v>
      </c>
      <c r="U80" s="11">
        <f t="shared" si="7"/>
        <v>1</v>
      </c>
      <c r="V80" s="11">
        <f t="shared" si="8"/>
        <v>0</v>
      </c>
    </row>
    <row r="81" ht="45" spans="1:22">
      <c r="A81" s="11">
        <v>67</v>
      </c>
      <c r="B81" s="11" t="s">
        <v>138</v>
      </c>
      <c r="C81" s="11" t="s">
        <v>610</v>
      </c>
      <c r="D81" s="11" t="s">
        <v>611</v>
      </c>
      <c r="E81" s="11" t="s">
        <v>612</v>
      </c>
      <c r="F81" s="11" t="s">
        <v>634</v>
      </c>
      <c r="G81" s="11" t="s">
        <v>635</v>
      </c>
      <c r="H81" s="11" t="s">
        <v>636</v>
      </c>
      <c r="I81" s="11" t="s">
        <v>637</v>
      </c>
      <c r="J81" s="14" t="s">
        <v>95</v>
      </c>
      <c r="K81" s="15" t="s">
        <v>242</v>
      </c>
      <c r="L81" s="11" t="s">
        <v>638</v>
      </c>
      <c r="M81" s="11" t="s">
        <v>639</v>
      </c>
      <c r="N81" s="11" t="s">
        <v>640</v>
      </c>
      <c r="O81" s="11" t="s">
        <v>209</v>
      </c>
      <c r="P81" s="14" t="s">
        <v>1</v>
      </c>
      <c r="Q81" s="16" t="s">
        <v>1</v>
      </c>
      <c r="R81" s="14" t="s">
        <v>1</v>
      </c>
      <c r="S81" s="11">
        <f t="shared" si="5"/>
        <v>0</v>
      </c>
      <c r="T81" s="11">
        <f t="shared" si="6"/>
        <v>0</v>
      </c>
      <c r="U81" s="11">
        <f t="shared" si="7"/>
        <v>1</v>
      </c>
      <c r="V81" s="11">
        <f t="shared" si="8"/>
        <v>0</v>
      </c>
    </row>
    <row r="82" ht="45" spans="1:22">
      <c r="A82" s="11">
        <v>68</v>
      </c>
      <c r="B82" s="11" t="s">
        <v>138</v>
      </c>
      <c r="C82" s="11" t="s">
        <v>610</v>
      </c>
      <c r="D82" s="11" t="s">
        <v>611</v>
      </c>
      <c r="E82" s="11" t="s">
        <v>612</v>
      </c>
      <c r="F82" s="11" t="s">
        <v>641</v>
      </c>
      <c r="G82" s="11" t="s">
        <v>642</v>
      </c>
      <c r="H82" s="11" t="s">
        <v>643</v>
      </c>
      <c r="I82" s="11" t="s">
        <v>644</v>
      </c>
      <c r="J82" s="14" t="s">
        <v>95</v>
      </c>
      <c r="K82" s="15" t="s">
        <v>167</v>
      </c>
      <c r="L82" s="11" t="s">
        <v>645</v>
      </c>
      <c r="M82" s="11" t="s">
        <v>646</v>
      </c>
      <c r="N82" s="11" t="s">
        <v>647</v>
      </c>
      <c r="O82" s="11" t="s">
        <v>209</v>
      </c>
      <c r="P82" s="14" t="s">
        <v>1</v>
      </c>
      <c r="Q82" s="16" t="s">
        <v>1</v>
      </c>
      <c r="R82" s="14" t="s">
        <v>1</v>
      </c>
      <c r="S82" s="11">
        <f t="shared" si="5"/>
        <v>0</v>
      </c>
      <c r="T82" s="11">
        <f t="shared" si="6"/>
        <v>0</v>
      </c>
      <c r="U82" s="11">
        <f t="shared" si="7"/>
        <v>1</v>
      </c>
      <c r="V82" s="11">
        <f t="shared" si="8"/>
        <v>0</v>
      </c>
    </row>
    <row r="83" ht="45" spans="1:22">
      <c r="A83" s="11">
        <v>69</v>
      </c>
      <c r="B83" s="11" t="s">
        <v>138</v>
      </c>
      <c r="C83" s="11" t="s">
        <v>610</v>
      </c>
      <c r="D83" s="11" t="s">
        <v>611</v>
      </c>
      <c r="E83" s="11" t="s">
        <v>612</v>
      </c>
      <c r="F83" s="11" t="s">
        <v>648</v>
      </c>
      <c r="G83" s="11" t="s">
        <v>649</v>
      </c>
      <c r="H83" s="11" t="s">
        <v>650</v>
      </c>
      <c r="I83" s="11" t="s">
        <v>651</v>
      </c>
      <c r="J83" s="14" t="s">
        <v>95</v>
      </c>
      <c r="K83" s="15" t="s">
        <v>167</v>
      </c>
      <c r="L83" s="11" t="s">
        <v>652</v>
      </c>
      <c r="M83" s="11" t="s">
        <v>653</v>
      </c>
      <c r="N83" s="11" t="s">
        <v>654</v>
      </c>
      <c r="O83" s="11" t="s">
        <v>209</v>
      </c>
      <c r="P83" s="14" t="s">
        <v>1</v>
      </c>
      <c r="Q83" s="16" t="s">
        <v>1</v>
      </c>
      <c r="R83" s="14" t="s">
        <v>1</v>
      </c>
      <c r="S83" s="11">
        <f t="shared" si="5"/>
        <v>0</v>
      </c>
      <c r="T83" s="11">
        <f t="shared" si="6"/>
        <v>0</v>
      </c>
      <c r="U83" s="11">
        <f t="shared" si="7"/>
        <v>1</v>
      </c>
      <c r="V83" s="11">
        <f t="shared" si="8"/>
        <v>0</v>
      </c>
    </row>
    <row r="84" ht="45" spans="1:22">
      <c r="A84" s="11">
        <v>70</v>
      </c>
      <c r="B84" s="11" t="s">
        <v>138</v>
      </c>
      <c r="C84" s="11" t="s">
        <v>610</v>
      </c>
      <c r="D84" s="11" t="s">
        <v>611</v>
      </c>
      <c r="E84" s="11" t="s">
        <v>655</v>
      </c>
      <c r="F84" s="11" t="s">
        <v>656</v>
      </c>
      <c r="G84" s="11" t="s">
        <v>657</v>
      </c>
      <c r="H84" s="11" t="s">
        <v>658</v>
      </c>
      <c r="I84" s="11" t="s">
        <v>659</v>
      </c>
      <c r="J84" s="14" t="s">
        <v>95</v>
      </c>
      <c r="K84" s="15" t="s">
        <v>167</v>
      </c>
      <c r="L84" s="11" t="s">
        <v>660</v>
      </c>
      <c r="M84" s="11" t="s">
        <v>661</v>
      </c>
      <c r="N84" s="11" t="s">
        <v>662</v>
      </c>
      <c r="O84" s="11" t="s">
        <v>209</v>
      </c>
      <c r="P84" s="14" t="s">
        <v>1</v>
      </c>
      <c r="Q84" s="16" t="s">
        <v>1</v>
      </c>
      <c r="R84" s="14" t="s">
        <v>1</v>
      </c>
      <c r="S84" s="11">
        <f t="shared" si="5"/>
        <v>0</v>
      </c>
      <c r="T84" s="11">
        <f t="shared" si="6"/>
        <v>0</v>
      </c>
      <c r="U84" s="11">
        <f t="shared" si="7"/>
        <v>1</v>
      </c>
      <c r="V84" s="11">
        <f t="shared" si="8"/>
        <v>0</v>
      </c>
    </row>
    <row r="85" ht="45" spans="1:22">
      <c r="A85" s="11">
        <v>71</v>
      </c>
      <c r="B85" s="11" t="s">
        <v>138</v>
      </c>
      <c r="C85" s="11" t="s">
        <v>610</v>
      </c>
      <c r="D85" s="11" t="s">
        <v>611</v>
      </c>
      <c r="E85" s="11" t="s">
        <v>655</v>
      </c>
      <c r="F85" s="11" t="s">
        <v>663</v>
      </c>
      <c r="G85" s="11" t="s">
        <v>664</v>
      </c>
      <c r="H85" s="11" t="s">
        <v>665</v>
      </c>
      <c r="I85" s="11" t="s">
        <v>666</v>
      </c>
      <c r="J85" s="14" t="s">
        <v>95</v>
      </c>
      <c r="K85" s="15" t="s">
        <v>167</v>
      </c>
      <c r="L85" s="11" t="s">
        <v>667</v>
      </c>
      <c r="M85" s="11" t="s">
        <v>668</v>
      </c>
      <c r="N85" s="11" t="s">
        <v>669</v>
      </c>
      <c r="O85" s="11" t="s">
        <v>209</v>
      </c>
      <c r="P85" s="14" t="s">
        <v>1</v>
      </c>
      <c r="Q85" s="16" t="s">
        <v>1</v>
      </c>
      <c r="R85" s="14" t="s">
        <v>1</v>
      </c>
      <c r="S85" s="11">
        <f t="shared" si="5"/>
        <v>0</v>
      </c>
      <c r="T85" s="11">
        <f t="shared" si="6"/>
        <v>0</v>
      </c>
      <c r="U85" s="11">
        <f t="shared" si="7"/>
        <v>1</v>
      </c>
      <c r="V85" s="11">
        <f t="shared" si="8"/>
        <v>0</v>
      </c>
    </row>
    <row r="86" ht="30" spans="1:22">
      <c r="A86" s="11">
        <v>72</v>
      </c>
      <c r="B86" s="11" t="s">
        <v>139</v>
      </c>
      <c r="C86" s="11" t="s">
        <v>670</v>
      </c>
      <c r="D86" s="11" t="s">
        <v>671</v>
      </c>
      <c r="E86" s="11" t="s">
        <v>672</v>
      </c>
      <c r="F86" s="11" t="s">
        <v>673</v>
      </c>
      <c r="G86" s="11" t="s">
        <v>674</v>
      </c>
      <c r="H86" s="11" t="s">
        <v>675</v>
      </c>
      <c r="I86" s="11" t="s">
        <v>676</v>
      </c>
      <c r="J86" s="14" t="s">
        <v>95</v>
      </c>
      <c r="K86" s="15" t="s">
        <v>242</v>
      </c>
      <c r="L86" s="11" t="s">
        <v>677</v>
      </c>
      <c r="M86" s="11" t="s">
        <v>678</v>
      </c>
      <c r="N86" s="11" t="s">
        <v>679</v>
      </c>
      <c r="O86" s="11" t="s">
        <v>171</v>
      </c>
      <c r="P86" s="14" t="s">
        <v>1</v>
      </c>
      <c r="Q86" s="16" t="s">
        <v>1</v>
      </c>
      <c r="R86" s="14" t="s">
        <v>1</v>
      </c>
      <c r="S86" s="11">
        <f t="shared" si="5"/>
        <v>0</v>
      </c>
      <c r="T86" s="11">
        <f t="shared" si="6"/>
        <v>0</v>
      </c>
      <c r="U86" s="11">
        <f t="shared" si="7"/>
        <v>1</v>
      </c>
      <c r="V86" s="11">
        <f t="shared" si="8"/>
        <v>0</v>
      </c>
    </row>
    <row r="87" ht="30" spans="1:22">
      <c r="A87" s="11">
        <v>73</v>
      </c>
      <c r="B87" s="11" t="s">
        <v>139</v>
      </c>
      <c r="C87" s="11" t="s">
        <v>670</v>
      </c>
      <c r="D87" s="11" t="s">
        <v>671</v>
      </c>
      <c r="E87" s="11" t="s">
        <v>672</v>
      </c>
      <c r="F87" s="11" t="s">
        <v>680</v>
      </c>
      <c r="G87" s="11" t="s">
        <v>681</v>
      </c>
      <c r="H87" s="11" t="s">
        <v>682</v>
      </c>
      <c r="I87" s="11" t="s">
        <v>683</v>
      </c>
      <c r="J87" s="14" t="s">
        <v>95</v>
      </c>
      <c r="K87" s="15" t="s">
        <v>242</v>
      </c>
      <c r="L87" s="11" t="s">
        <v>684</v>
      </c>
      <c r="M87" s="11" t="s">
        <v>685</v>
      </c>
      <c r="N87" s="11" t="s">
        <v>686</v>
      </c>
      <c r="O87" s="11" t="s">
        <v>171</v>
      </c>
      <c r="P87" s="14" t="s">
        <v>1</v>
      </c>
      <c r="Q87" s="16" t="s">
        <v>1</v>
      </c>
      <c r="R87" s="14" t="s">
        <v>1</v>
      </c>
      <c r="S87" s="11">
        <f t="shared" si="5"/>
        <v>0</v>
      </c>
      <c r="T87" s="11">
        <f t="shared" si="6"/>
        <v>0</v>
      </c>
      <c r="U87" s="11">
        <f t="shared" si="7"/>
        <v>1</v>
      </c>
      <c r="V87" s="11">
        <f t="shared" si="8"/>
        <v>0</v>
      </c>
    </row>
    <row r="88" ht="30" spans="1:22">
      <c r="A88" s="11">
        <v>74</v>
      </c>
      <c r="B88" s="11" t="s">
        <v>139</v>
      </c>
      <c r="C88" s="11" t="s">
        <v>670</v>
      </c>
      <c r="D88" s="11" t="s">
        <v>671</v>
      </c>
      <c r="E88" s="11" t="s">
        <v>672</v>
      </c>
      <c r="F88" s="11" t="s">
        <v>687</v>
      </c>
      <c r="G88" s="11" t="s">
        <v>688</v>
      </c>
      <c r="H88" s="11" t="s">
        <v>689</v>
      </c>
      <c r="I88" s="11" t="s">
        <v>690</v>
      </c>
      <c r="J88" s="14" t="s">
        <v>95</v>
      </c>
      <c r="K88" s="15" t="s">
        <v>242</v>
      </c>
      <c r="L88" s="11" t="s">
        <v>691</v>
      </c>
      <c r="M88" s="11" t="s">
        <v>692</v>
      </c>
      <c r="N88" s="11" t="s">
        <v>693</v>
      </c>
      <c r="O88" s="11" t="s">
        <v>171</v>
      </c>
      <c r="P88" s="14" t="s">
        <v>1</v>
      </c>
      <c r="Q88" s="16" t="s">
        <v>1</v>
      </c>
      <c r="R88" s="14" t="s">
        <v>1</v>
      </c>
      <c r="S88" s="11">
        <f t="shared" si="5"/>
        <v>0</v>
      </c>
      <c r="T88" s="11">
        <f t="shared" si="6"/>
        <v>0</v>
      </c>
      <c r="U88" s="11">
        <f t="shared" si="7"/>
        <v>1</v>
      </c>
      <c r="V88" s="11">
        <f t="shared" si="8"/>
        <v>0</v>
      </c>
    </row>
    <row r="89" ht="30" spans="1:22">
      <c r="A89" s="11">
        <v>75</v>
      </c>
      <c r="B89" s="11" t="s">
        <v>139</v>
      </c>
      <c r="C89" s="11" t="s">
        <v>670</v>
      </c>
      <c r="D89" s="11" t="s">
        <v>671</v>
      </c>
      <c r="E89" s="11" t="s">
        <v>672</v>
      </c>
      <c r="F89" s="11" t="s">
        <v>694</v>
      </c>
      <c r="G89" s="11" t="s">
        <v>695</v>
      </c>
      <c r="H89" s="11" t="s">
        <v>696</v>
      </c>
      <c r="I89" s="11" t="s">
        <v>697</v>
      </c>
      <c r="J89" s="14" t="s">
        <v>95</v>
      </c>
      <c r="K89" s="15" t="s">
        <v>167</v>
      </c>
      <c r="L89" s="11" t="s">
        <v>698</v>
      </c>
      <c r="M89" s="11" t="s">
        <v>699</v>
      </c>
      <c r="N89" s="11" t="s">
        <v>700</v>
      </c>
      <c r="O89" s="11" t="s">
        <v>171</v>
      </c>
      <c r="P89" s="14" t="s">
        <v>1</v>
      </c>
      <c r="Q89" s="16" t="s">
        <v>1</v>
      </c>
      <c r="R89" s="14" t="s">
        <v>1</v>
      </c>
      <c r="S89" s="11">
        <f t="shared" si="5"/>
        <v>0</v>
      </c>
      <c r="T89" s="11">
        <f t="shared" si="6"/>
        <v>0</v>
      </c>
      <c r="U89" s="11">
        <f t="shared" si="7"/>
        <v>1</v>
      </c>
      <c r="V89" s="11">
        <f t="shared" si="8"/>
        <v>0</v>
      </c>
    </row>
    <row r="90" ht="30" spans="1:22">
      <c r="A90" s="11">
        <v>76</v>
      </c>
      <c r="B90" s="11" t="s">
        <v>139</v>
      </c>
      <c r="C90" s="11" t="s">
        <v>670</v>
      </c>
      <c r="D90" s="11" t="s">
        <v>671</v>
      </c>
      <c r="E90" s="11" t="s">
        <v>672</v>
      </c>
      <c r="F90" s="11" t="s">
        <v>701</v>
      </c>
      <c r="G90" s="11" t="s">
        <v>702</v>
      </c>
      <c r="H90" s="11" t="s">
        <v>703</v>
      </c>
      <c r="I90" s="11" t="s">
        <v>704</v>
      </c>
      <c r="J90" s="14" t="s">
        <v>95</v>
      </c>
      <c r="K90" s="15" t="s">
        <v>167</v>
      </c>
      <c r="L90" s="11" t="s">
        <v>705</v>
      </c>
      <c r="M90" s="11" t="s">
        <v>706</v>
      </c>
      <c r="N90" s="11" t="s">
        <v>707</v>
      </c>
      <c r="O90" s="11" t="s">
        <v>171</v>
      </c>
      <c r="P90" s="14" t="s">
        <v>1</v>
      </c>
      <c r="Q90" s="16" t="s">
        <v>1</v>
      </c>
      <c r="R90" s="14" t="s">
        <v>1</v>
      </c>
      <c r="S90" s="11">
        <f t="shared" si="5"/>
        <v>0</v>
      </c>
      <c r="T90" s="11">
        <f t="shared" si="6"/>
        <v>0</v>
      </c>
      <c r="U90" s="11">
        <f t="shared" si="7"/>
        <v>1</v>
      </c>
      <c r="V90" s="11">
        <f t="shared" si="8"/>
        <v>0</v>
      </c>
    </row>
    <row r="91" ht="30" spans="1:22">
      <c r="A91" s="11">
        <v>77</v>
      </c>
      <c r="B91" s="11" t="s">
        <v>139</v>
      </c>
      <c r="C91" s="11" t="s">
        <v>670</v>
      </c>
      <c r="D91" s="11" t="s">
        <v>671</v>
      </c>
      <c r="E91" s="11" t="s">
        <v>672</v>
      </c>
      <c r="F91" s="11" t="s">
        <v>708</v>
      </c>
      <c r="G91" s="11" t="s">
        <v>709</v>
      </c>
      <c r="H91" s="11" t="s">
        <v>710</v>
      </c>
      <c r="I91" s="11" t="s">
        <v>711</v>
      </c>
      <c r="J91" s="14" t="s">
        <v>95</v>
      </c>
      <c r="K91" s="15" t="s">
        <v>242</v>
      </c>
      <c r="L91" s="11" t="s">
        <v>712</v>
      </c>
      <c r="M91" s="11" t="s">
        <v>713</v>
      </c>
      <c r="N91" s="11" t="s">
        <v>714</v>
      </c>
      <c r="O91" s="11" t="s">
        <v>171</v>
      </c>
      <c r="P91" s="14" t="s">
        <v>1</v>
      </c>
      <c r="Q91" s="16" t="s">
        <v>1</v>
      </c>
      <c r="R91" s="14" t="s">
        <v>1</v>
      </c>
      <c r="S91" s="11">
        <f t="shared" si="5"/>
        <v>0</v>
      </c>
      <c r="T91" s="11">
        <f t="shared" si="6"/>
        <v>0</v>
      </c>
      <c r="U91" s="11">
        <f t="shared" si="7"/>
        <v>1</v>
      </c>
      <c r="V91" s="11">
        <f t="shared" si="8"/>
        <v>0</v>
      </c>
    </row>
    <row r="92" ht="30" spans="1:22">
      <c r="A92" s="11">
        <v>78</v>
      </c>
      <c r="B92" s="11" t="s">
        <v>139</v>
      </c>
      <c r="C92" s="11" t="s">
        <v>670</v>
      </c>
      <c r="D92" s="11" t="s">
        <v>671</v>
      </c>
      <c r="E92" s="11" t="s">
        <v>672</v>
      </c>
      <c r="F92" s="11" t="s">
        <v>715</v>
      </c>
      <c r="G92" s="11" t="s">
        <v>716</v>
      </c>
      <c r="H92" s="11" t="s">
        <v>717</v>
      </c>
      <c r="I92" s="11" t="s">
        <v>718</v>
      </c>
      <c r="J92" s="14" t="s">
        <v>95</v>
      </c>
      <c r="K92" s="15" t="s">
        <v>242</v>
      </c>
      <c r="L92" s="11" t="s">
        <v>719</v>
      </c>
      <c r="M92" s="11" t="s">
        <v>720</v>
      </c>
      <c r="N92" s="11" t="s">
        <v>721</v>
      </c>
      <c r="O92" s="11" t="s">
        <v>171</v>
      </c>
      <c r="P92" s="14" t="s">
        <v>1</v>
      </c>
      <c r="Q92" s="16" t="s">
        <v>1</v>
      </c>
      <c r="R92" s="14" t="s">
        <v>1</v>
      </c>
      <c r="S92" s="11">
        <f t="shared" si="5"/>
        <v>0</v>
      </c>
      <c r="T92" s="11">
        <f t="shared" si="6"/>
        <v>0</v>
      </c>
      <c r="U92" s="11">
        <f t="shared" si="7"/>
        <v>1</v>
      </c>
      <c r="V92" s="11">
        <f t="shared" si="8"/>
        <v>0</v>
      </c>
    </row>
    <row r="93" ht="30" spans="1:22">
      <c r="A93" s="11">
        <v>79</v>
      </c>
      <c r="B93" s="11" t="s">
        <v>139</v>
      </c>
      <c r="C93" s="11" t="s">
        <v>670</v>
      </c>
      <c r="D93" s="11" t="s">
        <v>671</v>
      </c>
      <c r="E93" s="11" t="s">
        <v>672</v>
      </c>
      <c r="F93" s="11" t="s">
        <v>722</v>
      </c>
      <c r="G93" s="11" t="s">
        <v>723</v>
      </c>
      <c r="H93" s="11" t="s">
        <v>724</v>
      </c>
      <c r="I93" s="11" t="s">
        <v>725</v>
      </c>
      <c r="J93" s="14" t="s">
        <v>95</v>
      </c>
      <c r="K93" s="15" t="s">
        <v>396</v>
      </c>
      <c r="L93" s="11" t="s">
        <v>726</v>
      </c>
      <c r="M93" s="11" t="s">
        <v>727</v>
      </c>
      <c r="N93" s="11" t="s">
        <v>728</v>
      </c>
      <c r="O93" s="11" t="s">
        <v>171</v>
      </c>
      <c r="P93" s="14" t="s">
        <v>1</v>
      </c>
      <c r="Q93" s="16" t="s">
        <v>1</v>
      </c>
      <c r="R93" s="14" t="s">
        <v>1</v>
      </c>
      <c r="S93" s="11">
        <f t="shared" si="5"/>
        <v>0</v>
      </c>
      <c r="T93" s="11">
        <f t="shared" si="6"/>
        <v>0</v>
      </c>
      <c r="U93" s="11">
        <f t="shared" si="7"/>
        <v>1</v>
      </c>
      <c r="V93" s="11">
        <f t="shared" si="8"/>
        <v>0</v>
      </c>
    </row>
  </sheetData>
  <conditionalFormatting sqref="J15:J93">
    <cfRule type="expression" dxfId="0" priority="1">
      <formula>J15="DONE"</formula>
    </cfRule>
    <cfRule type="expression" dxfId="1" priority="2">
      <formula>J15="IN_PROGRESS"</formula>
    </cfRule>
    <cfRule type="expression" dxfId="2" priority="3">
      <formula>OR(J15="OPEN",J15="NOT_STARTED")</formula>
    </cfRule>
    <cfRule type="expression" dxfId="3" priority="4">
      <formula>J15="BLOCKED"</formula>
    </cfRule>
  </conditionalFormatting>
  <dataValidations count="2">
    <dataValidation type="list" sqref="J15:J93">
      <formula1>"DONE,IN_PROGRESS,OPEN,BLOCKED,NOT_STARTED"</formula1>
    </dataValidation>
    <dataValidation type="list" sqref="K15:K93">
      <formula1>"Critical,High,Medium,Low"</formula1>
    </dataValidation>
  </dataValidations>
  <pageMargins left="0.7" right="0.7" top="0.75" bottom="0.75" header="0.3" footer="0.3"/>
  <headerFooter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showGridLines="0" workbookViewId="0">
      <selection activeCell="A1" sqref="A1"/>
    </sheetView>
  </sheetViews>
  <sheetFormatPr defaultColWidth="9" defaultRowHeight="15" outlineLevelCol="1"/>
  <cols>
    <col min="1" max="1" width="34" customWidth="1"/>
    <col min="2" max="2" width="98" customWidth="1"/>
  </cols>
  <sheetData>
    <row r="1" spans="1:2">
      <c r="A1" s="2" t="s">
        <v>729</v>
      </c>
      <c r="B1" s="6" t="s">
        <v>730</v>
      </c>
    </row>
    <row r="2" spans="1:2">
      <c r="A2" s="3" t="s">
        <v>141</v>
      </c>
      <c r="B2" s="7" t="s">
        <v>29</v>
      </c>
    </row>
    <row r="3" spans="1:2">
      <c r="A3" s="3" t="s">
        <v>55</v>
      </c>
      <c r="B3" s="7" t="s">
        <v>85</v>
      </c>
    </row>
    <row r="4" spans="1:2">
      <c r="A4" s="3" t="s">
        <v>731</v>
      </c>
      <c r="B4" s="7" t="s">
        <v>732</v>
      </c>
    </row>
    <row r="5" spans="1:2">
      <c r="A5" s="3" t="s">
        <v>733</v>
      </c>
      <c r="B5" s="7" t="s">
        <v>734</v>
      </c>
    </row>
    <row r="6" spans="1:2">
      <c r="A6" s="3" t="s">
        <v>735</v>
      </c>
      <c r="B6" s="7" t="s">
        <v>736</v>
      </c>
    </row>
    <row r="7" spans="1:2">
      <c r="A7" s="3" t="s">
        <v>737</v>
      </c>
      <c r="B7" s="7" t="s">
        <v>738</v>
      </c>
    </row>
    <row r="8" ht="30" spans="1:2">
      <c r="A8" s="3" t="s">
        <v>739</v>
      </c>
      <c r="B8" s="7" t="s">
        <v>740</v>
      </c>
    </row>
    <row r="9" ht="30" spans="1:2">
      <c r="A9" s="3" t="s">
        <v>62</v>
      </c>
      <c r="B9" s="7" t="s">
        <v>741</v>
      </c>
    </row>
    <row r="10" spans="1:2">
      <c r="A10" s="3" t="s">
        <v>742</v>
      </c>
      <c r="B10" s="7" t="s">
        <v>743</v>
      </c>
    </row>
    <row r="12" spans="1:1">
      <c r="A12" s="8" t="s">
        <v>744</v>
      </c>
    </row>
    <row r="13" spans="1:2">
      <c r="A13" s="3" t="s">
        <v>745</v>
      </c>
      <c r="B13" t="s">
        <v>746</v>
      </c>
    </row>
    <row r="14" spans="1:2">
      <c r="A14" s="3" t="s">
        <v>747</v>
      </c>
      <c r="B14" t="s">
        <v>748</v>
      </c>
    </row>
    <row r="15" spans="1:2">
      <c r="A15" s="3" t="s">
        <v>749</v>
      </c>
      <c r="B15" t="s">
        <v>750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workbookViewId="0">
      <selection activeCell="A1" sqref="A1"/>
    </sheetView>
  </sheetViews>
  <sheetFormatPr defaultColWidth="9" defaultRowHeight="15" outlineLevelCol="5"/>
  <cols>
    <col min="1" max="1" width="38" customWidth="1"/>
    <col min="2" max="2" width="36" customWidth="1"/>
    <col min="3" max="3" width="30" customWidth="1"/>
    <col min="5" max="5" width="10" customWidth="1"/>
    <col min="6" max="6" width="62" customWidth="1"/>
  </cols>
  <sheetData>
    <row r="1" ht="30" spans="1:6">
      <c r="A1" s="1" t="s">
        <v>751</v>
      </c>
      <c r="B1" s="1" t="s">
        <v>752</v>
      </c>
      <c r="C1" s="1" t="s">
        <v>753</v>
      </c>
      <c r="D1" s="4"/>
      <c r="E1" s="2" t="s">
        <v>754</v>
      </c>
      <c r="F1" s="4"/>
    </row>
    <row r="2" spans="1:6">
      <c r="A2" t="s">
        <v>755</v>
      </c>
      <c r="B2" t="s">
        <v>756</v>
      </c>
      <c r="C2" t="s">
        <v>757</v>
      </c>
      <c r="E2" s="5" t="s">
        <v>758</v>
      </c>
      <c r="F2" t="s">
        <v>759</v>
      </c>
    </row>
    <row r="3" spans="1:6">
      <c r="A3" t="s">
        <v>760</v>
      </c>
      <c r="B3" t="s">
        <v>761</v>
      </c>
      <c r="C3" t="s">
        <v>762</v>
      </c>
      <c r="E3" s="5" t="s">
        <v>758</v>
      </c>
      <c r="F3" t="s">
        <v>763</v>
      </c>
    </row>
    <row r="4" spans="1:6">
      <c r="A4" t="s">
        <v>764</v>
      </c>
      <c r="B4" t="s">
        <v>765</v>
      </c>
      <c r="C4" t="s">
        <v>766</v>
      </c>
      <c r="E4" s="5" t="s">
        <v>758</v>
      </c>
      <c r="F4" t="s">
        <v>767</v>
      </c>
    </row>
    <row r="5" spans="1:6">
      <c r="A5" t="s">
        <v>768</v>
      </c>
      <c r="B5" t="s">
        <v>769</v>
      </c>
      <c r="C5" t="s">
        <v>770</v>
      </c>
      <c r="E5" s="5" t="s">
        <v>758</v>
      </c>
      <c r="F5" t="s">
        <v>771</v>
      </c>
    </row>
    <row r="6" spans="1:6">
      <c r="A6" t="s">
        <v>772</v>
      </c>
      <c r="B6" t="s">
        <v>773</v>
      </c>
      <c r="C6" t="s">
        <v>774</v>
      </c>
      <c r="E6" s="5" t="s">
        <v>758</v>
      </c>
      <c r="F6" t="s">
        <v>775</v>
      </c>
    </row>
    <row r="7" spans="1:6">
      <c r="A7" t="s">
        <v>776</v>
      </c>
      <c r="B7" t="s">
        <v>777</v>
      </c>
      <c r="C7" t="s">
        <v>778</v>
      </c>
      <c r="E7" s="5" t="s">
        <v>758</v>
      </c>
      <c r="F7" t="s">
        <v>779</v>
      </c>
    </row>
    <row r="8" spans="1:6">
      <c r="A8" t="s">
        <v>780</v>
      </c>
      <c r="B8" t="s">
        <v>781</v>
      </c>
      <c r="C8" t="s">
        <v>782</v>
      </c>
      <c r="E8" s="5" t="s">
        <v>758</v>
      </c>
      <c r="F8" t="s">
        <v>783</v>
      </c>
    </row>
    <row r="9" spans="1:3">
      <c r="A9" t="s">
        <v>784</v>
      </c>
      <c r="B9" t="s">
        <v>785</v>
      </c>
      <c r="C9" t="s">
        <v>786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showGridLines="0" workbookViewId="0">
      <selection activeCell="A1" sqref="A1"/>
    </sheetView>
  </sheetViews>
  <sheetFormatPr defaultColWidth="9" defaultRowHeight="15"/>
  <cols>
    <col min="1" max="1" width="95" customWidth="1"/>
  </cols>
  <sheetData>
    <row r="1" spans="1:1">
      <c r="A1" s="2" t="s">
        <v>787</v>
      </c>
    </row>
    <row r="2" spans="1:1">
      <c r="A2" t="s">
        <v>788</v>
      </c>
    </row>
    <row r="3" spans="1:1">
      <c r="A3" t="s">
        <v>789</v>
      </c>
    </row>
    <row r="4" spans="1:1">
      <c r="A4" t="s">
        <v>790</v>
      </c>
    </row>
    <row r="5" spans="1:1">
      <c r="A5" t="s">
        <v>791</v>
      </c>
    </row>
    <row r="6" spans="1:1">
      <c r="A6" t="s">
        <v>792</v>
      </c>
    </row>
    <row r="7" spans="1:1">
      <c r="A7" t="s">
        <v>793</v>
      </c>
    </row>
    <row r="8" spans="1:1">
      <c r="A8" t="s">
        <v>794</v>
      </c>
    </row>
    <row r="9" spans="1:1">
      <c r="A9" t="s">
        <v>795</v>
      </c>
    </row>
    <row r="10" spans="1:1">
      <c r="A10" t="s">
        <v>796</v>
      </c>
    </row>
    <row r="11" spans="1:1">
      <c r="A11" t="s">
        <v>797</v>
      </c>
    </row>
    <row r="12" spans="1:1">
      <c r="A12" t="s">
        <v>798</v>
      </c>
    </row>
    <row r="13" spans="1:1">
      <c r="A13" t="s">
        <v>799</v>
      </c>
    </row>
    <row r="14" spans="1:1">
      <c r="A14" t="s">
        <v>800</v>
      </c>
    </row>
    <row r="15" spans="1:1">
      <c r="A15" t="s">
        <v>1</v>
      </c>
    </row>
    <row r="16" spans="1:1">
      <c r="A16" s="3" t="s">
        <v>801</v>
      </c>
    </row>
    <row r="17" spans="1:1">
      <c r="A17" t="s">
        <v>802</v>
      </c>
    </row>
    <row r="18" spans="1:1">
      <c r="A18" t="s">
        <v>1</v>
      </c>
    </row>
    <row r="19" spans="1:1">
      <c r="A19" s="3" t="s">
        <v>803</v>
      </c>
    </row>
    <row r="20" spans="1:1">
      <c r="A20" t="s">
        <v>804</v>
      </c>
    </row>
    <row r="21" spans="1:1">
      <c r="A21" t="s">
        <v>805</v>
      </c>
    </row>
    <row r="22" spans="1:1">
      <c r="A22" t="s">
        <v>806</v>
      </c>
    </row>
    <row r="23" spans="1:1">
      <c r="A23" t="s">
        <v>807</v>
      </c>
    </row>
    <row r="24" spans="1:1">
      <c r="A24" t="s">
        <v>808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showGridLines="0" workbookViewId="0">
      <selection activeCell="A1" sqref="A1"/>
    </sheetView>
  </sheetViews>
  <sheetFormatPr defaultColWidth="9" defaultRowHeight="15" outlineLevelRow="1" outlineLevelCol="7"/>
  <cols>
    <col min="1" max="1" width="14" customWidth="1"/>
    <col min="2" max="3" width="12" customWidth="1"/>
    <col min="4" max="4" width="28" customWidth="1"/>
    <col min="5" max="5" width="22" customWidth="1"/>
    <col min="6" max="6" width="54" customWidth="1"/>
    <col min="7" max="7" width="10" customWidth="1"/>
    <col min="8" max="8" width="30" customWidth="1"/>
  </cols>
  <sheetData>
    <row r="1" spans="1:8">
      <c r="A1" s="1" t="s">
        <v>809</v>
      </c>
      <c r="B1" s="1" t="s">
        <v>56</v>
      </c>
      <c r="C1" s="1" t="s">
        <v>55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154</v>
      </c>
    </row>
    <row r="2" spans="1:8">
      <c r="A2" t="s">
        <v>814</v>
      </c>
      <c r="B2" t="s">
        <v>133</v>
      </c>
      <c r="C2" t="s">
        <v>85</v>
      </c>
      <c r="D2" t="s">
        <v>815</v>
      </c>
      <c r="E2" t="s">
        <v>816</v>
      </c>
      <c r="F2" t="s">
        <v>817</v>
      </c>
      <c r="G2" t="s">
        <v>818</v>
      </c>
      <c r="H2" t="s">
        <v>819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showGridLines="0" workbookViewId="0">
      <selection activeCell="A1" sqref="A1"/>
    </sheetView>
  </sheetViews>
  <sheetFormatPr defaultColWidth="9" defaultRowHeight="15" outlineLevelRow="5" outlineLevelCol="3"/>
  <cols>
    <col min="1" max="1" width="18" customWidth="1"/>
    <col min="2" max="2" width="42" customWidth="1"/>
    <col min="3" max="3" width="50" customWidth="1"/>
    <col min="4" max="4" width="52" customWidth="1"/>
  </cols>
  <sheetData>
    <row r="1" spans="1:4">
      <c r="A1" s="1" t="s">
        <v>820</v>
      </c>
      <c r="B1" s="1" t="s">
        <v>821</v>
      </c>
      <c r="C1" s="1" t="s">
        <v>822</v>
      </c>
      <c r="D1" s="1" t="s">
        <v>823</v>
      </c>
    </row>
    <row r="2" spans="1:4">
      <c r="A2" t="s">
        <v>824</v>
      </c>
      <c r="B2" t="s">
        <v>825</v>
      </c>
      <c r="C2" t="s">
        <v>15</v>
      </c>
      <c r="D2" t="s">
        <v>826</v>
      </c>
    </row>
    <row r="3" spans="1:4">
      <c r="A3" t="s">
        <v>827</v>
      </c>
      <c r="B3" t="s">
        <v>828</v>
      </c>
      <c r="C3" t="s">
        <v>829</v>
      </c>
      <c r="D3" t="s">
        <v>830</v>
      </c>
    </row>
    <row r="4" spans="1:4">
      <c r="A4" t="s">
        <v>827</v>
      </c>
      <c r="B4" t="s">
        <v>831</v>
      </c>
      <c r="C4" t="s">
        <v>829</v>
      </c>
      <c r="D4" t="s">
        <v>832</v>
      </c>
    </row>
    <row r="5" spans="1:4">
      <c r="A5" t="s">
        <v>827</v>
      </c>
      <c r="B5" t="s">
        <v>833</v>
      </c>
      <c r="C5" t="s">
        <v>829</v>
      </c>
      <c r="D5" t="s">
        <v>834</v>
      </c>
    </row>
    <row r="6" spans="1:4">
      <c r="A6" t="s">
        <v>835</v>
      </c>
      <c r="B6" t="s">
        <v>836</v>
      </c>
      <c r="C6" t="s">
        <v>837</v>
      </c>
      <c r="D6" t="s">
        <v>838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00_README</vt:lpstr>
      <vt:lpstr>01_OVERVIEW</vt:lpstr>
      <vt:lpstr>02_PHASE_GATES</vt:lpstr>
      <vt:lpstr>03_DETAILED_CHECKLIST</vt:lpstr>
      <vt:lpstr>04_CURRENT_PRIORITY</vt:lpstr>
      <vt:lpstr>05_ANTI_DEVIATION</vt:lpstr>
      <vt:lpstr>06_HANDOFF_TEMPLATE</vt:lpstr>
      <vt:lpstr>07_EVIDENCE_LOG</vt:lpstr>
      <vt:lpstr>08_SOURCE_REGISTER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Teera</cp:lastModifiedBy>
  <dcterms:created xsi:type="dcterms:W3CDTF">2026-03-27T01:43:00Z</dcterms:created>
  <dcterms:modified xsi:type="dcterms:W3CDTF">2026-03-27T01:46:18Z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B617F647F28B4DD6856435E7F31E6005_12</vt:lpwstr>
  </property>
  <property fmtid="{D5CDD505-2E9C-101B-9397-08002B2CF9AE}" pid="3" name="KSOProductBuildVer">
    <vt:lpwstr>2057-12.2.0.23197</vt:lpwstr>
  </property>
</Properties>
</file>